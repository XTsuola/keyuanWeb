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utils\sxsyzlzq\"/>
    </mc:Choice>
  </mc:AlternateContent>
  <bookViews>
    <workbookView windowWidth="27945" windowHeight="12255"/>
  </bookViews>
  <sheets>
    <sheet name="19星域战力标" sheetId="1" r:id="rId1"/>
    <sheet name="19星域异界币统计" sheetId="2" r:id="rId2"/>
  </sheets>
  <definedNames>
    <definedName name="_xlnm._FilterDatabase" localSheetId="0" hidden="1">'19星域战力标'!$F$1:$F$22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<sst xmlns="http://schemas.openxmlformats.org/spreadsheetml/2006/main" count="366" uniqueCount="224">
  <si>
    <t>区服</t>
  </si>
  <si>
    <t>名字</t>
  </si>
  <si>
    <t>氪度</t>
  </si>
  <si>
    <t>战力（2025.3.26）</t>
  </si>
  <si>
    <t>周提升值</t>
  </si>
  <si>
    <t>战力（2025.4.2）</t>
  </si>
  <si>
    <t>战力（2025.4.9）</t>
  </si>
  <si>
    <t>战力（2025.4.16）</t>
  </si>
  <si>
    <t>战力（2025.4.23）</t>
  </si>
  <si>
    <t>战力（2025.4.30）</t>
  </si>
  <si>
    <t>战力（2025.5.7）</t>
  </si>
  <si>
    <t>战力（2025.5.14）</t>
  </si>
  <si>
    <t>战力（2025.5.21）</t>
  </si>
  <si>
    <t>战力（2025.5.28）</t>
  </si>
  <si>
    <t>战力（2025.6.4）</t>
  </si>
  <si>
    <t>战力（2025.6.11）</t>
  </si>
  <si>
    <t>战力（2025.6.18）</t>
  </si>
  <si>
    <t>战力（2025.6.25）</t>
  </si>
  <si>
    <t>战力（2025.7.2）</t>
  </si>
  <si>
    <t>战力（2025.7.9）</t>
  </si>
  <si>
    <t>战力（2025.7.16）</t>
  </si>
  <si>
    <t>战力（2025.7.23）</t>
  </si>
  <si>
    <t>战力（2025.7.30）</t>
  </si>
  <si>
    <t>战力（2025.8.6）</t>
  </si>
  <si>
    <t>战力（2025.8.13）</t>
  </si>
  <si>
    <t>周提升</t>
  </si>
  <si>
    <t>战力（2025.8.20）</t>
  </si>
  <si>
    <t>战力（2025.8.27）</t>
  </si>
  <si>
    <t>战力（2025.9.3）</t>
  </si>
  <si>
    <t>战力（2025.9.10）</t>
  </si>
  <si>
    <t>战力（2025.9.17）</t>
  </si>
  <si>
    <t>战力（2025.9.24）</t>
  </si>
  <si>
    <t>战力（2025.10.1）</t>
  </si>
  <si>
    <t>战力（2025.10.8）</t>
  </si>
  <si>
    <t>战力（2025.10.15）</t>
  </si>
  <si>
    <t>战力（2025.10.22）</t>
  </si>
  <si>
    <t>战力（2025.10.28）</t>
  </si>
  <si>
    <t>战力（2025.11.04）</t>
  </si>
  <si>
    <t>战力（2025.11.11）</t>
  </si>
  <si>
    <t>战力（2025.11.18）</t>
  </si>
  <si>
    <t>战力（2025.11.25）</t>
  </si>
  <si>
    <t>战力（2025.12.02）</t>
  </si>
  <si>
    <t>战力（2025.12.09）</t>
  </si>
  <si>
    <t>战力（2025.12.16）</t>
  </si>
  <si>
    <t>战力（2025.12.23）</t>
  </si>
  <si>
    <t>战力（2025.12.30）</t>
  </si>
  <si>
    <t>战力（2025.01.06）</t>
  </si>
  <si>
    <t>战力（2025.01.13）</t>
  </si>
  <si>
    <t>战力（2025.01.20）</t>
  </si>
  <si>
    <t>战力（2025.01.27）</t>
  </si>
  <si>
    <t>战力（2025.02.03）</t>
  </si>
  <si>
    <t>战力（2025.02.10）</t>
  </si>
  <si>
    <t>2周提升值</t>
  </si>
  <si>
    <t>战力（2025.02.24）</t>
  </si>
  <si>
    <t>战力（2025.03.03）</t>
  </si>
  <si>
    <t>战力（2025.03.10）</t>
  </si>
  <si>
    <t>战力（2025.03.17）</t>
  </si>
  <si>
    <t>战力（2026.03.24）</t>
  </si>
  <si>
    <t>战力（2026.04.01）</t>
  </si>
  <si>
    <t>战力（2026.04.09）</t>
  </si>
  <si>
    <t>战力（2026.04.14）</t>
  </si>
  <si>
    <t>战力（2026.04.21）</t>
  </si>
  <si>
    <t>战力（2026.04.28）</t>
  </si>
  <si>
    <t>战力（2026.05.07）</t>
  </si>
  <si>
    <t>战力（2026.05.14）</t>
  </si>
  <si>
    <t>战力（2026.05.20）</t>
  </si>
  <si>
    <t>战力（2026.05.27）</t>
  </si>
  <si>
    <t>战力（2026.06.03）</t>
  </si>
  <si>
    <t>战力（2026.06.10）</t>
  </si>
  <si>
    <t>战力（2026.06.17）</t>
  </si>
  <si>
    <t>战力（2026.06.24）</t>
  </si>
  <si>
    <t>战力（2026.07.01）</t>
  </si>
  <si>
    <t>战力（2026.07.08）</t>
  </si>
  <si>
    <t>战力（2026.07.15）</t>
  </si>
  <si>
    <t>战力（2026.07.22）</t>
  </si>
  <si>
    <t>战力（2026.07.29）</t>
  </si>
  <si>
    <t>战力（2026.08.05）</t>
  </si>
  <si>
    <t>战力（2026.08.12）</t>
  </si>
  <si>
    <t>战力（2026.08.19）</t>
  </si>
  <si>
    <t>战力（2026.08.26）</t>
  </si>
  <si>
    <t>战力（2026.09.03）</t>
  </si>
  <si>
    <t>战力（2026.09.09）</t>
  </si>
  <si>
    <t>战力（2026.09.16）</t>
  </si>
  <si>
    <t>战力（2026.09.23）</t>
  </si>
  <si>
    <t>战力（2026.09.30）</t>
  </si>
  <si>
    <t>战力（2026.10.08）</t>
  </si>
  <si>
    <t>战力（2026.10.14）</t>
  </si>
  <si>
    <t>战力（2026.10.21）</t>
  </si>
  <si>
    <t>首席（流派）</t>
  </si>
  <si>
    <t>首席战力</t>
  </si>
  <si>
    <t>副官（流派）</t>
  </si>
  <si>
    <t>副官战力</t>
  </si>
  <si>
    <t>周充值金额</t>
  </si>
  <si>
    <t>肝值（小时）</t>
  </si>
  <si>
    <t>抽卡数</t>
  </si>
  <si>
    <t>星值</t>
  </si>
  <si>
    <t>累计提升</t>
  </si>
  <si>
    <t>月提升</t>
  </si>
  <si>
    <t>145区</t>
  </si>
  <si>
    <t>古月星辰</t>
  </si>
  <si>
    <t>中大氪</t>
  </si>
  <si>
    <t>冽（传承）</t>
  </si>
  <si>
    <t>梅养（养神）</t>
  </si>
  <si>
    <t>SZH</t>
  </si>
  <si>
    <t>大氪</t>
  </si>
  <si>
    <t>魔尊（践踏）</t>
  </si>
  <si>
    <t>格洛（快攻）</t>
  </si>
  <si>
    <t>杜佳捷</t>
  </si>
  <si>
    <t>中低氪</t>
  </si>
  <si>
    <t>丽娅（人海）</t>
  </si>
  <si>
    <t>亚芬（压制）</t>
  </si>
  <si>
    <t>liu</t>
  </si>
  <si>
    <t>迅（养神）</t>
  </si>
  <si>
    <t>小黑</t>
  </si>
  <si>
    <t>眼镜妹（跳费）</t>
  </si>
  <si>
    <t>[永恒]</t>
  </si>
  <si>
    <t>低氪</t>
  </si>
  <si>
    <t>146区</t>
  </si>
  <si>
    <t>KB</t>
  </si>
  <si>
    <t>盲女（洞察）</t>
  </si>
  <si>
    <t>洞察女（橙卡）</t>
  </si>
  <si>
    <t>147区</t>
  </si>
  <si>
    <t>没有nic</t>
  </si>
  <si>
    <t>查查（养神）</t>
  </si>
  <si>
    <t>148区</t>
  </si>
  <si>
    <t>大核桃</t>
  </si>
  <si>
    <t>眼镜妹（橙卡）</t>
  </si>
  <si>
    <t>喵喵（橙卡）</t>
  </si>
  <si>
    <t>请叫我阿奎</t>
  </si>
  <si>
    <t>中氪</t>
  </si>
  <si>
    <t>12345。</t>
  </si>
  <si>
    <t>冰男（人海）</t>
  </si>
  <si>
    <t>淘汰郎</t>
  </si>
  <si>
    <t>喵喵（跳费）</t>
  </si>
  <si>
    <t>momo</t>
  </si>
  <si>
    <t>微氪</t>
  </si>
  <si>
    <t>白夜</t>
  </si>
  <si>
    <t>大良91档钟</t>
  </si>
  <si>
    <t>梅（养神）</t>
  </si>
  <si>
    <t>白处尊（人海）</t>
  </si>
  <si>
    <t>149区</t>
  </si>
  <si>
    <t>灰企鹅呆瓜</t>
  </si>
  <si>
    <t>沙琪玛（快攻）</t>
  </si>
  <si>
    <t>桂林碧桂园</t>
  </si>
  <si>
    <t>150区</t>
  </si>
  <si>
    <t>开飞机的贝塔</t>
  </si>
  <si>
    <t>151区</t>
  </si>
  <si>
    <t>suola</t>
  </si>
  <si>
    <t>圣母（洞察）</t>
  </si>
  <si>
    <t>星空</t>
  </si>
  <si>
    <t>152区</t>
  </si>
  <si>
    <t>新蜂幻境</t>
  </si>
  <si>
    <t>白处尊（养神）</t>
  </si>
  <si>
    <t>养乐多</t>
  </si>
  <si>
    <t>*托</t>
  </si>
  <si>
    <t>氪度表：</t>
  </si>
  <si>
    <t>金额：</t>
  </si>
  <si>
    <t>零氪</t>
  </si>
  <si>
    <t>0-99</t>
  </si>
  <si>
    <t>100-999</t>
  </si>
  <si>
    <t>1K-2999</t>
  </si>
  <si>
    <t>3K-9999</t>
  </si>
  <si>
    <t>1W-19999</t>
  </si>
  <si>
    <t>2W-49999</t>
  </si>
  <si>
    <t>5W-99999</t>
  </si>
  <si>
    <t>巨氪</t>
  </si>
  <si>
    <t>10W-199999</t>
  </si>
  <si>
    <t>顶氪</t>
  </si>
  <si>
    <t>20w以上</t>
  </si>
  <si>
    <t>2025.03.16</t>
  </si>
  <si>
    <t>2025.03.23</t>
  </si>
  <si>
    <t>2025.03.30</t>
  </si>
  <si>
    <t>2025.04.06</t>
  </si>
  <si>
    <t>2025.04.13</t>
  </si>
  <si>
    <t>2025.04.20</t>
  </si>
  <si>
    <t>2025.04.27</t>
  </si>
  <si>
    <t>2025.05.04</t>
  </si>
  <si>
    <t>2025.05.11</t>
  </si>
  <si>
    <t>2025.05.18</t>
  </si>
  <si>
    <t>2025.05.25</t>
  </si>
  <si>
    <t>2025.06.01</t>
  </si>
  <si>
    <t>2025.06.08</t>
  </si>
  <si>
    <t>2025.06.15</t>
  </si>
  <si>
    <t>2025.06.22</t>
  </si>
  <si>
    <t>2025.06.29</t>
  </si>
  <si>
    <t>2025.07.06</t>
  </si>
  <si>
    <t>2025.07.13</t>
  </si>
  <si>
    <t>2025.07.20</t>
  </si>
  <si>
    <t>2025.07.27</t>
  </si>
  <si>
    <t>2025.08.03</t>
  </si>
  <si>
    <t>2025.08.10</t>
  </si>
  <si>
    <t>2025.08.17</t>
  </si>
  <si>
    <t>2025.08.24</t>
  </si>
  <si>
    <t>2025.08.31</t>
  </si>
  <si>
    <t>2025.09.07</t>
  </si>
  <si>
    <t>2025.09.14</t>
  </si>
  <si>
    <t>2025.09.21</t>
  </si>
  <si>
    <t>2025.09.28</t>
  </si>
  <si>
    <t>2025.10.05</t>
  </si>
  <si>
    <t>2025.10.12</t>
  </si>
  <si>
    <t>2025.10.19</t>
  </si>
  <si>
    <t>2025.10.26</t>
  </si>
  <si>
    <t>2025.11.02</t>
  </si>
  <si>
    <t>2025.11.09</t>
  </si>
  <si>
    <t>2025.11.16</t>
  </si>
  <si>
    <t>2025.11.23</t>
  </si>
  <si>
    <t>2025.11.30</t>
  </si>
  <si>
    <t>2025.12.07</t>
  </si>
  <si>
    <t>2025.12.14</t>
  </si>
  <si>
    <t>2025.12.21</t>
  </si>
  <si>
    <t>2025.12.28</t>
  </si>
  <si>
    <t>2026.01.04</t>
  </si>
  <si>
    <t>2026.01.11</t>
  </si>
  <si>
    <t>2026.01.18</t>
  </si>
  <si>
    <t>2026.01.25</t>
  </si>
  <si>
    <t>2026.02.01</t>
  </si>
  <si>
    <t>2026.02.08</t>
  </si>
  <si>
    <t>2026.02.15</t>
  </si>
  <si>
    <t>2026.02.22</t>
  </si>
  <si>
    <t>区总计产出</t>
  </si>
  <si>
    <t>星域总计产出：</t>
  </si>
  <si>
    <t>排名曲线</t>
  </si>
  <si>
    <t>曲线</t>
  </si>
  <si>
    <t>前进多少名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</si>
</sst>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6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176" fontId="5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C36"/>
  <sheetViews>
    <sheetView tabSelected="1" zoomScale="115" zoomScaleNormal="115" workbookViewId="0">
      <selection activeCell="FJ17" sqref="FJ17"/>
    </sheetView>
  </sheetViews>
  <sheetFormatPr defaultColWidth="9" defaultRowHeight="13.5"/>
  <cols>
    <col min="1" max="1" width="11.3666666666667" customWidth="1"/>
    <col min="2" max="2" width="16.3" customWidth="1"/>
    <col min="3" max="3" width="13.5833333333333" customWidth="1"/>
    <col min="4" max="4" width="16.4083333333333" hidden="1" customWidth="1"/>
    <col min="5" max="5" width="10.5" hidden="1" customWidth="1"/>
    <col min="6" max="6" width="15.5333333333333" hidden="1" customWidth="1"/>
    <col min="7" max="7" width="15.5" hidden="1" customWidth="1"/>
    <col min="8" max="8" width="16.625" hidden="1" customWidth="1"/>
    <col min="9" max="9" width="16.7583333333333" hidden="1" customWidth="1"/>
    <col min="10" max="10" width="18.125" hidden="1" customWidth="1"/>
    <col min="11" max="11" width="15.6333333333333" hidden="1" customWidth="1"/>
    <col min="12" max="12" width="18.275" hidden="1" customWidth="1"/>
    <col min="13" max="13" width="0.258333333333333" hidden="1" customWidth="1"/>
    <col min="14" max="14" width="17.275" hidden="1" customWidth="1"/>
    <col min="15" max="15" width="15.1083333333333" hidden="1" customWidth="1"/>
    <col min="16" max="16" width="16.3583333333333" hidden="1" customWidth="1"/>
    <col min="17" max="17" width="16.9916666666667" hidden="1" customWidth="1"/>
    <col min="18" max="18" width="17.8666666666667" hidden="1" customWidth="1"/>
    <col min="19" max="20" width="18.0166666666667" hidden="1" customWidth="1"/>
    <col min="21" max="21" width="16.625" hidden="1" customWidth="1"/>
    <col min="22" max="22" width="17.3916666666667" hidden="1" customWidth="1"/>
    <col min="23" max="36" width="18.0166666666667" hidden="1" customWidth="1"/>
    <col min="37" max="37" width="11.4166666666667" hidden="1" customWidth="1"/>
    <col min="38" max="38" width="18.0166666666667" hidden="1" customWidth="1"/>
    <col min="39" max="39" width="18.1416666666667" hidden="1" customWidth="1"/>
    <col min="40" max="46" width="18.0166666666667" hidden="1" customWidth="1"/>
    <col min="47" max="54" width="18.8916666666667" hidden="1" customWidth="1"/>
    <col min="55" max="55" width="18.8916666666667" style="7" hidden="1" customWidth="1"/>
    <col min="56" max="64" width="18.8916666666667" hidden="1" customWidth="1"/>
    <col min="65" max="65" width="20.425" hidden="1" customWidth="1"/>
    <col min="66" max="66" width="19.2333333333333" hidden="1" customWidth="1"/>
    <col min="67" max="67" width="17.1666666666667" hidden="1" customWidth="1"/>
    <col min="68" max="68" width="18.5833333333333" hidden="1" customWidth="1"/>
    <col min="69" max="69" width="11.8583333333333" hidden="1" customWidth="1"/>
    <col min="70" max="72" width="17.2833333333333" hidden="1" customWidth="1"/>
    <col min="73" max="73" width="8.875" hidden="1" customWidth="1"/>
    <col min="74" max="88" width="17.2833333333333" hidden="1" customWidth="1"/>
    <col min="89" max="89" width="11.3" hidden="1" customWidth="1"/>
    <col min="90" max="90" width="17.9333333333333" hidden="1" customWidth="1"/>
    <col min="91" max="119" width="17.2833333333333" hidden="1" customWidth="1"/>
    <col min="120" max="120" width="18.8" hidden="1" customWidth="1"/>
    <col min="121" max="163" width="17.2833333333333" hidden="1" customWidth="1"/>
    <col min="164" max="167" width="17.2833333333333" customWidth="1"/>
    <col min="168" max="168" width="14.5416666666667" customWidth="1"/>
    <col min="169" max="169" width="15.1833333333333" hidden="1" customWidth="1"/>
    <col min="170" max="170" width="13.2583333333333" hidden="1" customWidth="1"/>
    <col min="171" max="171" width="11.625" hidden="1" customWidth="1"/>
    <col min="172" max="172" width="12.6083333333333" hidden="1" customWidth="1"/>
    <col min="173" max="173" width="15.0166666666667" hidden="1" customWidth="1"/>
    <col min="174" max="174" width="12.625"/>
    <col min="175" max="175" width="11.4083333333333" hidden="1" customWidth="1"/>
    <col min="176" max="176" width="10.425" customWidth="1"/>
  </cols>
  <sheetData>
    <row r="1" spans="1:18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4</v>
      </c>
      <c r="H1" s="5" t="s">
        <v>6</v>
      </c>
      <c r="I1" s="5" t="s">
        <v>4</v>
      </c>
      <c r="J1" s="5" t="s">
        <v>7</v>
      </c>
      <c r="K1" s="5" t="s">
        <v>4</v>
      </c>
      <c r="L1" s="5" t="s">
        <v>8</v>
      </c>
      <c r="M1" s="5" t="s">
        <v>4</v>
      </c>
      <c r="N1" s="5" t="s">
        <v>9</v>
      </c>
      <c r="O1" s="5" t="s">
        <v>4</v>
      </c>
      <c r="P1" s="5" t="s">
        <v>10</v>
      </c>
      <c r="Q1" s="5" t="s">
        <v>4</v>
      </c>
      <c r="R1" s="5" t="s">
        <v>11</v>
      </c>
      <c r="S1" s="5" t="s">
        <v>4</v>
      </c>
      <c r="T1" s="5" t="s">
        <v>12</v>
      </c>
      <c r="U1" s="5" t="s">
        <v>4</v>
      </c>
      <c r="V1" s="5" t="s">
        <v>13</v>
      </c>
      <c r="W1" s="5" t="s">
        <v>4</v>
      </c>
      <c r="X1" s="5" t="s">
        <v>14</v>
      </c>
      <c r="Y1" s="5" t="s">
        <v>4</v>
      </c>
      <c r="Z1" s="5" t="s">
        <v>15</v>
      </c>
      <c r="AA1" s="5" t="s">
        <v>4</v>
      </c>
      <c r="AB1" s="5" t="s">
        <v>16</v>
      </c>
      <c r="AC1" s="5" t="s">
        <v>4</v>
      </c>
      <c r="AD1" s="5" t="s">
        <v>17</v>
      </c>
      <c r="AE1" s="9" t="s">
        <v>4</v>
      </c>
      <c r="AF1" s="5" t="s">
        <v>18</v>
      </c>
      <c r="AG1" s="5" t="s">
        <v>4</v>
      </c>
      <c r="AH1" s="5" t="s">
        <v>19</v>
      </c>
      <c r="AI1" s="5" t="s">
        <v>4</v>
      </c>
      <c r="AJ1" s="5" t="s">
        <v>20</v>
      </c>
      <c r="AK1" s="5" t="s">
        <v>4</v>
      </c>
      <c r="AL1" s="5" t="s">
        <v>21</v>
      </c>
      <c r="AM1" s="5" t="s">
        <v>4</v>
      </c>
      <c r="AN1" s="5" t="s">
        <v>22</v>
      </c>
      <c r="AO1" s="5" t="s">
        <v>4</v>
      </c>
      <c r="AP1" s="5" t="s">
        <v>23</v>
      </c>
      <c r="AQ1" s="5" t="s">
        <v>4</v>
      </c>
      <c r="AR1" s="5" t="s">
        <v>24</v>
      </c>
      <c r="AS1" s="5" t="s">
        <v>25</v>
      </c>
      <c r="AT1" s="5" t="s">
        <v>26</v>
      </c>
      <c r="AU1" s="5" t="s">
        <v>4</v>
      </c>
      <c r="AV1" s="5" t="s">
        <v>27</v>
      </c>
      <c r="AW1" s="5" t="s">
        <v>4</v>
      </c>
      <c r="AX1" s="5" t="s">
        <v>28</v>
      </c>
      <c r="AY1" s="5" t="s">
        <v>4</v>
      </c>
      <c r="AZ1" s="5" t="s">
        <v>29</v>
      </c>
      <c r="BA1" s="5" t="s">
        <v>4</v>
      </c>
      <c r="BB1" s="5" t="s">
        <v>30</v>
      </c>
      <c r="BC1" s="9" t="s">
        <v>4</v>
      </c>
      <c r="BD1" s="5" t="s">
        <v>31</v>
      </c>
      <c r="BE1" s="5" t="s">
        <v>4</v>
      </c>
      <c r="BF1" s="5" t="s">
        <v>32</v>
      </c>
      <c r="BG1" s="5" t="s">
        <v>4</v>
      </c>
      <c r="BH1" s="5" t="s">
        <v>33</v>
      </c>
      <c r="BI1" s="5" t="s">
        <v>4</v>
      </c>
      <c r="BJ1" s="5" t="s">
        <v>34</v>
      </c>
      <c r="BK1" s="5" t="s">
        <v>4</v>
      </c>
      <c r="BL1" s="5" t="s">
        <v>35</v>
      </c>
      <c r="BM1" s="5" t="s">
        <v>4</v>
      </c>
      <c r="BN1" s="5" t="s">
        <v>36</v>
      </c>
      <c r="BO1" s="5" t="s">
        <v>4</v>
      </c>
      <c r="BP1" s="5" t="s">
        <v>37</v>
      </c>
      <c r="BQ1" s="5" t="s">
        <v>4</v>
      </c>
      <c r="BR1" s="5" t="s">
        <v>38</v>
      </c>
      <c r="BS1" s="5" t="s">
        <v>4</v>
      </c>
      <c r="BT1" s="5" t="s">
        <v>39</v>
      </c>
      <c r="BU1" s="5" t="s">
        <v>4</v>
      </c>
      <c r="BV1" s="5" t="s">
        <v>40</v>
      </c>
      <c r="BW1" s="5" t="s">
        <v>4</v>
      </c>
      <c r="BX1" s="5" t="s">
        <v>41</v>
      </c>
      <c r="BY1" s="5" t="s">
        <v>4</v>
      </c>
      <c r="BZ1" s="5" t="s">
        <v>42</v>
      </c>
      <c r="CA1" s="5" t="s">
        <v>4</v>
      </c>
      <c r="CB1" s="5" t="s">
        <v>43</v>
      </c>
      <c r="CC1" s="5" t="s">
        <v>4</v>
      </c>
      <c r="CD1" s="5" t="s">
        <v>44</v>
      </c>
      <c r="CE1" s="5" t="s">
        <v>4</v>
      </c>
      <c r="CF1" s="5" t="s">
        <v>45</v>
      </c>
      <c r="CG1" s="5" t="s">
        <v>4</v>
      </c>
      <c r="CH1" s="5" t="s">
        <v>46</v>
      </c>
      <c r="CI1" s="5" t="s">
        <v>4</v>
      </c>
      <c r="CJ1" s="5" t="s">
        <v>47</v>
      </c>
      <c r="CK1" s="5" t="s">
        <v>4</v>
      </c>
      <c r="CL1" s="5" t="s">
        <v>48</v>
      </c>
      <c r="CM1" s="5" t="s">
        <v>4</v>
      </c>
      <c r="CN1" s="5" t="s">
        <v>49</v>
      </c>
      <c r="CO1" s="5" t="s">
        <v>4</v>
      </c>
      <c r="CP1" s="5" t="s">
        <v>50</v>
      </c>
      <c r="CQ1" s="5" t="s">
        <v>4</v>
      </c>
      <c r="CR1" s="5" t="s">
        <v>51</v>
      </c>
      <c r="CS1" s="5" t="s">
        <v>52</v>
      </c>
      <c r="CT1" s="5" t="s">
        <v>53</v>
      </c>
      <c r="CU1" s="5" t="s">
        <v>4</v>
      </c>
      <c r="CV1" s="5" t="s">
        <v>54</v>
      </c>
      <c r="CW1" s="5" t="s">
        <v>4</v>
      </c>
      <c r="CX1" s="5" t="s">
        <v>55</v>
      </c>
      <c r="CY1" s="5" t="s">
        <v>4</v>
      </c>
      <c r="CZ1" s="5" t="s">
        <v>56</v>
      </c>
      <c r="DA1" s="5" t="s">
        <v>4</v>
      </c>
      <c r="DB1" s="5" t="s">
        <v>57</v>
      </c>
      <c r="DC1" s="5" t="s">
        <v>4</v>
      </c>
      <c r="DD1" s="5" t="s">
        <v>58</v>
      </c>
      <c r="DE1" s="5" t="s">
        <v>4</v>
      </c>
      <c r="DF1" s="5" t="s">
        <v>59</v>
      </c>
      <c r="DG1" s="5" t="s">
        <v>4</v>
      </c>
      <c r="DH1" s="5" t="s">
        <v>60</v>
      </c>
      <c r="DI1" s="5" t="s">
        <v>4</v>
      </c>
      <c r="DJ1" s="5" t="s">
        <v>61</v>
      </c>
      <c r="DK1" s="5" t="s">
        <v>4</v>
      </c>
      <c r="DL1" s="5" t="s">
        <v>62</v>
      </c>
      <c r="DM1" s="5" t="s">
        <v>4</v>
      </c>
      <c r="DN1" s="5" t="s">
        <v>63</v>
      </c>
      <c r="DO1" s="5" t="s">
        <v>4</v>
      </c>
      <c r="DP1" s="5" t="s">
        <v>64</v>
      </c>
      <c r="DQ1" s="5" t="s">
        <v>4</v>
      </c>
      <c r="DR1" s="5" t="s">
        <v>65</v>
      </c>
      <c r="DS1" s="5" t="s">
        <v>4</v>
      </c>
      <c r="DT1" s="5" t="s">
        <v>66</v>
      </c>
      <c r="DU1" s="5" t="s">
        <v>4</v>
      </c>
      <c r="DV1" s="5" t="s">
        <v>67</v>
      </c>
      <c r="DW1" s="5" t="s">
        <v>4</v>
      </c>
      <c r="DX1" s="5" t="s">
        <v>68</v>
      </c>
      <c r="DY1" s="5" t="s">
        <v>4</v>
      </c>
      <c r="DZ1" s="5" t="s">
        <v>69</v>
      </c>
      <c r="EA1" s="5" t="s">
        <v>4</v>
      </c>
      <c r="EB1" s="5" t="s">
        <v>70</v>
      </c>
      <c r="EC1" s="5" t="s">
        <v>4</v>
      </c>
      <c r="ED1" s="5" t="s">
        <v>71</v>
      </c>
      <c r="EE1" s="5" t="s">
        <v>4</v>
      </c>
      <c r="EF1" s="5" t="s">
        <v>72</v>
      </c>
      <c r="EG1" s="5" t="s">
        <v>4</v>
      </c>
      <c r="EH1" s="5" t="s">
        <v>73</v>
      </c>
      <c r="EI1" s="5" t="s">
        <v>4</v>
      </c>
      <c r="EJ1" s="5" t="s">
        <v>74</v>
      </c>
      <c r="EK1" s="5" t="s">
        <v>4</v>
      </c>
      <c r="EL1" s="5" t="s">
        <v>75</v>
      </c>
      <c r="EM1" s="5" t="s">
        <v>4</v>
      </c>
      <c r="EN1" s="5" t="s">
        <v>76</v>
      </c>
      <c r="EO1" s="5" t="s">
        <v>4</v>
      </c>
      <c r="EP1" s="5" t="s">
        <v>77</v>
      </c>
      <c r="EQ1" s="5" t="s">
        <v>4</v>
      </c>
      <c r="ER1" s="5" t="s">
        <v>78</v>
      </c>
      <c r="ES1" s="5" t="s">
        <v>4</v>
      </c>
      <c r="ET1" s="5" t="s">
        <v>79</v>
      </c>
      <c r="EU1" s="5" t="s">
        <v>4</v>
      </c>
      <c r="EV1" s="5" t="s">
        <v>80</v>
      </c>
      <c r="EW1" s="9" t="s">
        <v>4</v>
      </c>
      <c r="EX1" s="9" t="s">
        <v>81</v>
      </c>
      <c r="EY1" s="5" t="s">
        <v>4</v>
      </c>
      <c r="EZ1" s="5" t="s">
        <v>82</v>
      </c>
      <c r="FA1" s="5" t="s">
        <v>4</v>
      </c>
      <c r="FB1" s="5" t="s">
        <v>83</v>
      </c>
      <c r="FC1" s="5" t="s">
        <v>4</v>
      </c>
      <c r="FD1" s="5" t="s">
        <v>84</v>
      </c>
      <c r="FE1" s="5" t="s">
        <v>4</v>
      </c>
      <c r="FF1" s="5" t="s">
        <v>85</v>
      </c>
      <c r="FG1" s="5" t="s">
        <v>4</v>
      </c>
      <c r="FH1" s="5" t="s">
        <v>86</v>
      </c>
      <c r="FI1" s="5" t="s">
        <v>4</v>
      </c>
      <c r="FJ1" s="5" t="s">
        <v>87</v>
      </c>
      <c r="FK1" s="5" t="s">
        <v>88</v>
      </c>
      <c r="FL1" s="5" t="s">
        <v>89</v>
      </c>
      <c r="FM1" t="s">
        <v>90</v>
      </c>
      <c r="FN1" t="s">
        <v>91</v>
      </c>
      <c r="FO1" t="s">
        <v>92</v>
      </c>
      <c r="FP1" t="s">
        <v>93</v>
      </c>
      <c r="FQ1" t="s">
        <v>94</v>
      </c>
      <c r="FR1" t="s">
        <v>95</v>
      </c>
      <c r="FS1" t="s">
        <v>96</v>
      </c>
      <c r="FT1" t="s">
        <v>97</v>
      </c>
    </row>
    <row r="2" s="8" customFormat="1" spans="1:185">
      <c r="A2" s="1" t="s">
        <v>98</v>
      </c>
      <c r="B2" s="1" t="s">
        <v>99</v>
      </c>
      <c r="C2" s="1" t="s">
        <v>100</v>
      </c>
      <c r="D2" s="1">
        <v>1754.54</v>
      </c>
      <c r="E2" s="1">
        <f>F2-D2</f>
        <v>53.3700000000001</v>
      </c>
      <c r="F2" s="1">
        <v>1807.91</v>
      </c>
      <c r="G2" s="1">
        <f>H2-F2</f>
        <v>90.24</v>
      </c>
      <c r="H2" s="1">
        <v>1898.15</v>
      </c>
      <c r="I2" s="1">
        <f>J2-H2</f>
        <v>90.3799999999999</v>
      </c>
      <c r="J2" s="1">
        <v>1988.53</v>
      </c>
      <c r="K2" s="1">
        <f>L2-J2</f>
        <v>59.7099999999998</v>
      </c>
      <c r="L2" s="1">
        <v>2048.24</v>
      </c>
      <c r="M2" s="1">
        <f>N2-L2</f>
        <v>153.99</v>
      </c>
      <c r="N2" s="1">
        <v>2202.23</v>
      </c>
      <c r="O2" s="1">
        <f>P2-N2</f>
        <v>64.21</v>
      </c>
      <c r="P2" s="1">
        <v>2266.44</v>
      </c>
      <c r="Q2" s="1">
        <f>R2-P2</f>
        <v>47.5599999999999</v>
      </c>
      <c r="R2" s="1">
        <v>2314</v>
      </c>
      <c r="S2" s="1">
        <f>T2-R2</f>
        <v>59.6500000000001</v>
      </c>
      <c r="T2" s="1">
        <v>2373.65</v>
      </c>
      <c r="U2" s="1">
        <f>V2-T2</f>
        <v>70.6399999999999</v>
      </c>
      <c r="V2" s="10">
        <v>2444.29</v>
      </c>
      <c r="W2" s="1">
        <f>X2-V2</f>
        <v>95.9299999999998</v>
      </c>
      <c r="X2" s="10">
        <v>2540.22</v>
      </c>
      <c r="Y2" s="1">
        <f>Z2-X2</f>
        <v>90.3200000000002</v>
      </c>
      <c r="Z2" s="1">
        <v>2630.54</v>
      </c>
      <c r="AA2" s="1">
        <f>AB2-Z2</f>
        <v>69.7800000000002</v>
      </c>
      <c r="AB2" s="1">
        <v>2700.32</v>
      </c>
      <c r="AC2" s="1">
        <f>AD2-AB2</f>
        <v>57.52</v>
      </c>
      <c r="AD2" s="1">
        <v>2757.84</v>
      </c>
      <c r="AE2" s="11">
        <f>AF2-AD2</f>
        <v>217.06</v>
      </c>
      <c r="AF2" s="11">
        <v>2974.9</v>
      </c>
      <c r="AG2" s="11">
        <f>AH2-AF2</f>
        <v>18.4400000000001</v>
      </c>
      <c r="AH2" s="11">
        <v>2993.34</v>
      </c>
      <c r="AI2" s="11">
        <f>AJ2-AH2</f>
        <v>38.29</v>
      </c>
      <c r="AJ2" s="11">
        <v>3031.63</v>
      </c>
      <c r="AK2" s="11">
        <f>AL2-AJ2</f>
        <v>71.1199999999999</v>
      </c>
      <c r="AL2" s="11">
        <v>3102.75</v>
      </c>
      <c r="AM2" s="11">
        <f>AN2-AL2</f>
        <v>69.4400000000001</v>
      </c>
      <c r="AN2" s="11">
        <v>3172.19</v>
      </c>
      <c r="AO2" s="11">
        <f>AP2-AN2</f>
        <v>69.0799999999999</v>
      </c>
      <c r="AP2" s="11">
        <v>3241.27</v>
      </c>
      <c r="AQ2" s="11">
        <f>AR2-AP2</f>
        <v>24.2199999999998</v>
      </c>
      <c r="AR2" s="11">
        <v>3265.49</v>
      </c>
      <c r="AS2" s="11">
        <f>AT2-AR2</f>
        <v>38.8000000000002</v>
      </c>
      <c r="AT2" s="11">
        <v>3304.29</v>
      </c>
      <c r="AU2" s="12">
        <f>AV2-AT2</f>
        <v>84.8800000000001</v>
      </c>
      <c r="AV2" s="12">
        <v>3389.17</v>
      </c>
      <c r="AW2" s="13">
        <f>AX2-AV2</f>
        <v>63.1199999999999</v>
      </c>
      <c r="AX2" s="13">
        <v>3452.29</v>
      </c>
      <c r="AY2" s="13">
        <f>AZ2-AX2</f>
        <v>-0.860000000000127</v>
      </c>
      <c r="AZ2" s="13">
        <v>3451.43</v>
      </c>
      <c r="BA2" s="13">
        <f>BB2-AZ2</f>
        <v>48.96</v>
      </c>
      <c r="BB2" s="13">
        <v>3500.39</v>
      </c>
      <c r="BC2" s="13">
        <f>BD2-BB2</f>
        <v>54.3800000000001</v>
      </c>
      <c r="BD2" s="13">
        <v>3554.77</v>
      </c>
      <c r="BE2" s="12">
        <f>BF2-BD2</f>
        <v>92.1300000000001</v>
      </c>
      <c r="BF2" s="13">
        <v>3646.9</v>
      </c>
      <c r="BG2" s="13">
        <f>BH2-BF2</f>
        <v>120.14</v>
      </c>
      <c r="BH2" s="13">
        <v>3767.04</v>
      </c>
      <c r="BI2" s="13">
        <f>BJ2-BH2</f>
        <v>36.4200000000001</v>
      </c>
      <c r="BJ2" s="13">
        <v>3803.46</v>
      </c>
      <c r="BK2" s="13">
        <f>BL2-BJ2</f>
        <v>87.1700000000001</v>
      </c>
      <c r="BL2" s="13">
        <v>3890.63</v>
      </c>
      <c r="BM2" s="13">
        <f>BN2-BL2</f>
        <v>20.7599999999998</v>
      </c>
      <c r="BN2" s="13">
        <v>3911.39</v>
      </c>
      <c r="BO2" s="13">
        <f>BP2-BN2</f>
        <v>110.8</v>
      </c>
      <c r="BP2" s="13">
        <v>4022.19</v>
      </c>
      <c r="BQ2" s="13">
        <f>BR2-BP2</f>
        <v>37.6399999999999</v>
      </c>
      <c r="BR2" s="13">
        <v>4059.83</v>
      </c>
      <c r="BS2" s="13">
        <f>BT2-BR2</f>
        <v>70.5100000000002</v>
      </c>
      <c r="BT2" s="13">
        <v>4130.34</v>
      </c>
      <c r="BU2" s="13">
        <f>BV2-BT2</f>
        <v>59.71</v>
      </c>
      <c r="BV2" s="13">
        <v>4190.05</v>
      </c>
      <c r="BW2" s="13">
        <f>BX2-BV2</f>
        <v>140.139999999999</v>
      </c>
      <c r="BX2" s="13">
        <v>4330.19</v>
      </c>
      <c r="BY2" s="13">
        <f>BZ2-BX2</f>
        <v>49.6600000000008</v>
      </c>
      <c r="BZ2" s="13">
        <v>4379.85</v>
      </c>
      <c r="CA2" s="13">
        <f>CB2-BZ2</f>
        <v>31.3499999999995</v>
      </c>
      <c r="CB2" s="13">
        <v>4411.2</v>
      </c>
      <c r="CC2" s="13">
        <f>CD2-CB2</f>
        <v>75.0799999999999</v>
      </c>
      <c r="CD2" s="13">
        <v>4486.28</v>
      </c>
      <c r="CE2" s="13">
        <f>CF2-CD2</f>
        <v>156.8</v>
      </c>
      <c r="CF2" s="13">
        <v>4643.08</v>
      </c>
      <c r="CG2" s="13">
        <f>CH2-CF2</f>
        <v>88.8100000000004</v>
      </c>
      <c r="CH2" s="13">
        <v>4731.89</v>
      </c>
      <c r="CI2" s="13">
        <f>CJ2-CH2</f>
        <v>51.8199999999997</v>
      </c>
      <c r="CJ2" s="13">
        <v>4783.71</v>
      </c>
      <c r="CK2" s="13">
        <f>CL2-CJ2</f>
        <v>65.3900000000003</v>
      </c>
      <c r="CL2" s="13">
        <v>4849.1</v>
      </c>
      <c r="CM2" s="13">
        <f>CN2-CL2</f>
        <v>42.4499999999998</v>
      </c>
      <c r="CN2" s="13">
        <v>4891.55</v>
      </c>
      <c r="CO2" s="13">
        <f>CP2-CN2</f>
        <v>73.1199999999999</v>
      </c>
      <c r="CP2" s="13">
        <v>4964.67</v>
      </c>
      <c r="CQ2" s="13">
        <f>CR2-CP2</f>
        <v>35.1999999999998</v>
      </c>
      <c r="CR2" s="13">
        <v>4999.87</v>
      </c>
      <c r="CS2" s="13">
        <f>CT2-CR2</f>
        <v>173.29</v>
      </c>
      <c r="CT2" s="13">
        <v>5173.16</v>
      </c>
      <c r="CU2" s="13">
        <f>CV2-CT2</f>
        <v>63.2399999999998</v>
      </c>
      <c r="CV2" s="13">
        <v>5236.4</v>
      </c>
      <c r="CW2" s="12">
        <f>CX2-CV2</f>
        <v>110.240000000001</v>
      </c>
      <c r="CX2" s="13">
        <v>5346.64</v>
      </c>
      <c r="CY2" s="13">
        <f>CZ2-CX2</f>
        <v>125.94</v>
      </c>
      <c r="CZ2" s="13">
        <v>5472.58</v>
      </c>
      <c r="DA2" s="13">
        <f>DB2-CZ2</f>
        <v>48.9899999999998</v>
      </c>
      <c r="DB2" s="13">
        <v>5521.57</v>
      </c>
      <c r="DC2" s="13">
        <f>DD2-DB2</f>
        <v>98.2800000000007</v>
      </c>
      <c r="DD2" s="13">
        <v>5619.85</v>
      </c>
      <c r="DE2" s="13">
        <f>DF2-DD2</f>
        <v>48.8799999999992</v>
      </c>
      <c r="DF2" s="13">
        <v>5668.73</v>
      </c>
      <c r="DG2" s="13">
        <f>DH2-DF2</f>
        <v>59.3000000000002</v>
      </c>
      <c r="DH2" s="13">
        <v>5728.03</v>
      </c>
      <c r="DI2" s="13">
        <f>DJ2-DH2</f>
        <v>36.3800000000001</v>
      </c>
      <c r="DJ2" s="13">
        <v>5764.41</v>
      </c>
      <c r="DK2" s="13">
        <f>DL2-DJ2</f>
        <v>154.66</v>
      </c>
      <c r="DL2" s="13">
        <v>5919.07</v>
      </c>
      <c r="DM2" s="13">
        <f>DN2-DL2</f>
        <v>186.650000000001</v>
      </c>
      <c r="DN2" s="13">
        <v>6105.72</v>
      </c>
      <c r="DO2" s="12">
        <f>DP2-DN2</f>
        <v>127.53</v>
      </c>
      <c r="DP2" s="13">
        <v>6233.25</v>
      </c>
      <c r="DQ2" s="13">
        <f>DR2-DP2</f>
        <v>80.2200000000003</v>
      </c>
      <c r="DR2" s="13">
        <v>6313.47</v>
      </c>
      <c r="DS2" s="13">
        <f>DT2-DR2</f>
        <v>35.0900000000001</v>
      </c>
      <c r="DT2" s="13">
        <v>6348.56</v>
      </c>
      <c r="DU2" s="13">
        <f>DV2-DT2</f>
        <v>63.9199999999992</v>
      </c>
      <c r="DV2" s="13">
        <v>6412.48</v>
      </c>
      <c r="DW2" s="13">
        <f>DX2-DV2</f>
        <v>34.3900000000003</v>
      </c>
      <c r="DX2" s="13">
        <v>6446.87</v>
      </c>
      <c r="DY2" s="13">
        <f>DZ2-DX2</f>
        <v>29.2600000000002</v>
      </c>
      <c r="DZ2" s="13">
        <v>6476.13</v>
      </c>
      <c r="EA2" s="13">
        <f>EB2-DZ2</f>
        <v>53.1300000000001</v>
      </c>
      <c r="EB2" s="13">
        <v>6529.26</v>
      </c>
      <c r="EC2" s="13">
        <f>ED2-EB2</f>
        <v>150.719999999999</v>
      </c>
      <c r="ED2" s="13">
        <v>6679.98</v>
      </c>
      <c r="EE2" s="13">
        <f>EF2-ED2</f>
        <v>46.71</v>
      </c>
      <c r="EF2" s="13">
        <v>6726.69</v>
      </c>
      <c r="EG2" s="13">
        <f>EH2-EF2</f>
        <v>33.3100000000004</v>
      </c>
      <c r="EH2" s="13">
        <v>6760</v>
      </c>
      <c r="EI2" s="13">
        <f>EJ2-EH2</f>
        <v>259.95</v>
      </c>
      <c r="EJ2" s="13">
        <v>7019.95</v>
      </c>
      <c r="EK2" s="13">
        <f>EL2-EJ2</f>
        <v>0</v>
      </c>
      <c r="EL2" s="13">
        <v>7019.95</v>
      </c>
      <c r="EM2" s="13">
        <f>EN2-EL2</f>
        <v>0</v>
      </c>
      <c r="EN2" s="13">
        <v>7019.95</v>
      </c>
      <c r="EO2" s="13">
        <f>EP2-EN2</f>
        <v>0</v>
      </c>
      <c r="EP2" s="13">
        <v>7019.95</v>
      </c>
      <c r="EQ2" s="13">
        <f>ER2-EP2</f>
        <v>187.78</v>
      </c>
      <c r="ER2" s="13">
        <v>7207.73</v>
      </c>
      <c r="ES2" s="13">
        <f>ET2-ER2</f>
        <v>324.490000000001</v>
      </c>
      <c r="ET2" s="13">
        <v>7532.22</v>
      </c>
      <c r="EU2" s="13">
        <f>EV2-ET2</f>
        <v>53.1599999999999</v>
      </c>
      <c r="EV2" s="13">
        <v>7585.38</v>
      </c>
      <c r="EW2" s="13">
        <f>EX2-EV2</f>
        <v>13.9300000000003</v>
      </c>
      <c r="EX2" s="13">
        <v>7599.31</v>
      </c>
      <c r="EY2" s="13">
        <f>EZ2-EX2</f>
        <v>97.2599999999993</v>
      </c>
      <c r="EZ2" s="13">
        <v>7696.57</v>
      </c>
      <c r="FA2" s="13">
        <f>FB2-EZ2</f>
        <v>92.1800000000003</v>
      </c>
      <c r="FB2" s="13">
        <v>7788.75</v>
      </c>
      <c r="FC2" s="13">
        <f>FD2-FB2</f>
        <v>233.85</v>
      </c>
      <c r="FD2" s="13">
        <v>8022.6</v>
      </c>
      <c r="FE2" s="13">
        <f>FF2-FD2</f>
        <v>280.779999999999</v>
      </c>
      <c r="FF2" s="13">
        <v>8303.38</v>
      </c>
      <c r="FG2" s="13">
        <f>FH2-FF2</f>
        <v>18.1900000000005</v>
      </c>
      <c r="FH2" s="12">
        <v>8321.57</v>
      </c>
      <c r="FI2" s="13">
        <f>FJ2-FH2</f>
        <v>65.4200000000001</v>
      </c>
      <c r="FJ2" s="13">
        <v>8386.99</v>
      </c>
      <c r="FK2" s="12" t="s">
        <v>101</v>
      </c>
      <c r="FL2" s="11">
        <v>1854.71</v>
      </c>
      <c r="FM2" s="11" t="s">
        <v>102</v>
      </c>
      <c r="FN2" s="11">
        <v>686.88</v>
      </c>
      <c r="FO2" s="1">
        <v>300</v>
      </c>
      <c r="FP2" s="1">
        <v>2.2</v>
      </c>
      <c r="FQ2" s="1">
        <v>132783</v>
      </c>
      <c r="FR2" s="11">
        <f>2.3635/(FJ2/FL2)</f>
        <v>0.522667498709311</v>
      </c>
      <c r="FS2" s="11">
        <f>BP2-D2</f>
        <v>2267.65</v>
      </c>
      <c r="FT2" s="11">
        <f>FJ2-FB2</f>
        <v>598.24</v>
      </c>
    </row>
    <row r="3" spans="1:185">
      <c r="A3" s="1" t="s">
        <v>98</v>
      </c>
      <c r="B3" s="1" t="s">
        <v>103</v>
      </c>
      <c r="C3" s="1" t="s">
        <v>104</v>
      </c>
      <c r="D3" s="1">
        <v>2136.24</v>
      </c>
      <c r="E3" s="1">
        <f>F3-D3</f>
        <v>40.8200000000002</v>
      </c>
      <c r="F3" s="1">
        <v>2177.06</v>
      </c>
      <c r="G3" s="1">
        <f>H3-F3</f>
        <v>62.5999999999999</v>
      </c>
      <c r="H3" s="1">
        <v>2239.66</v>
      </c>
      <c r="I3" s="1">
        <f>J3-H3</f>
        <v>47.0700000000002</v>
      </c>
      <c r="J3" s="1">
        <v>2286.73</v>
      </c>
      <c r="K3" s="1">
        <f>L3-J3</f>
        <v>25.52</v>
      </c>
      <c r="L3" s="1">
        <v>2312.25</v>
      </c>
      <c r="M3" s="1">
        <f>N3-L3</f>
        <v>36.7800000000002</v>
      </c>
      <c r="N3" s="1">
        <v>2349.03</v>
      </c>
      <c r="O3" s="1">
        <f>P3-N3</f>
        <v>-18.02</v>
      </c>
      <c r="P3" s="1">
        <v>2331.01</v>
      </c>
      <c r="Q3" s="1">
        <f>R3-P3</f>
        <v>62.7599999999998</v>
      </c>
      <c r="R3" s="1">
        <v>2393.77</v>
      </c>
      <c r="S3" s="1">
        <f>T3-R3</f>
        <v>55.5599999999999</v>
      </c>
      <c r="T3" s="1">
        <v>2449.33</v>
      </c>
      <c r="U3" s="1">
        <f>V3-T3</f>
        <v>31.96</v>
      </c>
      <c r="V3" s="10">
        <v>2481.29</v>
      </c>
      <c r="W3" s="1">
        <f>X3-V3</f>
        <v>109.47</v>
      </c>
      <c r="X3" s="10">
        <v>2590.76</v>
      </c>
      <c r="Y3" s="1">
        <f>Z3-X3</f>
        <v>20.4299999999998</v>
      </c>
      <c r="Z3" s="1">
        <v>2611.19</v>
      </c>
      <c r="AA3" s="1">
        <f>AB3-Z3</f>
        <v>32.9899999999998</v>
      </c>
      <c r="AB3" s="1">
        <v>2644.18</v>
      </c>
      <c r="AC3" s="1">
        <f>AD3-AB3</f>
        <v>45.9000000000001</v>
      </c>
      <c r="AD3" s="1">
        <v>2690.08</v>
      </c>
      <c r="AE3" s="11">
        <f>AF3-AD3</f>
        <v>62.79</v>
      </c>
      <c r="AF3" s="11">
        <v>2752.87</v>
      </c>
      <c r="AG3" s="11">
        <f>AH3-AF3</f>
        <v>72.2800000000002</v>
      </c>
      <c r="AH3" s="11">
        <v>2825.15</v>
      </c>
      <c r="AI3" s="11">
        <f>AJ3-AH3</f>
        <v>38.1900000000001</v>
      </c>
      <c r="AJ3" s="11">
        <v>2863.34</v>
      </c>
      <c r="AK3" s="11">
        <f>AL3-AJ3</f>
        <v>82.1299999999997</v>
      </c>
      <c r="AL3" s="11">
        <v>2945.47</v>
      </c>
      <c r="AM3" s="11">
        <f>AN3-AL3</f>
        <v>39.5400000000004</v>
      </c>
      <c r="AN3" s="11">
        <v>2985.01</v>
      </c>
      <c r="AO3" s="11">
        <f>AP3-AN3</f>
        <v>42.0499999999997</v>
      </c>
      <c r="AP3" s="11">
        <v>3027.06</v>
      </c>
      <c r="AQ3" s="11">
        <f>AR3-AP3</f>
        <v>50.5799999999999</v>
      </c>
      <c r="AR3" s="11">
        <v>3077.64</v>
      </c>
      <c r="AS3" s="11">
        <f>AT3-AR3</f>
        <v>42.5599999999999</v>
      </c>
      <c r="AT3" s="11">
        <v>3120.2</v>
      </c>
      <c r="AU3" s="12">
        <f>AV3-AT3</f>
        <v>91.8800000000001</v>
      </c>
      <c r="AV3" s="12">
        <v>3212.08</v>
      </c>
      <c r="AW3" s="13">
        <f>AX3-AV3</f>
        <v>74.0500000000002</v>
      </c>
      <c r="AX3" s="13">
        <v>3286.13</v>
      </c>
      <c r="AY3" s="13">
        <f>AZ3-AX3</f>
        <v>43.98</v>
      </c>
      <c r="AZ3" s="13">
        <v>3330.11</v>
      </c>
      <c r="BA3" s="13">
        <f>BB3-AZ3</f>
        <v>35.3499999999999</v>
      </c>
      <c r="BB3" s="13">
        <v>3365.46</v>
      </c>
      <c r="BC3" s="13">
        <f>BD3-BB3</f>
        <v>38.3899999999999</v>
      </c>
      <c r="BD3" s="13">
        <v>3403.85</v>
      </c>
      <c r="BE3" s="12">
        <f>BF3-BD3</f>
        <v>53.21</v>
      </c>
      <c r="BF3" s="13">
        <v>3457.06</v>
      </c>
      <c r="BG3" s="13">
        <f>BH3-BF3</f>
        <v>115.36</v>
      </c>
      <c r="BH3" s="13">
        <v>3572.42</v>
      </c>
      <c r="BI3" s="13">
        <f>BJ3-BH3</f>
        <v>19.0799999999999</v>
      </c>
      <c r="BJ3" s="13">
        <v>3591.5</v>
      </c>
      <c r="BK3" s="13">
        <f>BL3-BJ3</f>
        <v>50.9499999999998</v>
      </c>
      <c r="BL3" s="13">
        <v>3642.45</v>
      </c>
      <c r="BM3" s="13">
        <f>BN3-BL3</f>
        <v>32.1300000000001</v>
      </c>
      <c r="BN3" s="13">
        <v>3674.58</v>
      </c>
      <c r="BO3" s="13">
        <f>BP3-BN3</f>
        <v>46.4099999999999</v>
      </c>
      <c r="BP3" s="13">
        <v>3720.99</v>
      </c>
      <c r="BQ3" s="13">
        <f>BR3-BP3</f>
        <v>52.0300000000002</v>
      </c>
      <c r="BR3" s="13">
        <v>3773.02</v>
      </c>
      <c r="BS3" s="13">
        <f>BT3-BR3</f>
        <v>27.8600000000001</v>
      </c>
      <c r="BT3" s="13">
        <v>3800.88</v>
      </c>
      <c r="BU3" s="13">
        <f>BV3-BT3</f>
        <v>49.29</v>
      </c>
      <c r="BV3" s="13">
        <v>3850.17</v>
      </c>
      <c r="BW3" s="13">
        <f>BX3-BV3</f>
        <v>124.53</v>
      </c>
      <c r="BX3" s="13">
        <v>3974.7</v>
      </c>
      <c r="BY3" s="13">
        <f>BZ3-BX3</f>
        <v>10.3200000000002</v>
      </c>
      <c r="BZ3" s="13">
        <v>3985.02</v>
      </c>
      <c r="CA3" s="13">
        <f>CB3-BZ3</f>
        <v>123.75</v>
      </c>
      <c r="CB3" s="13">
        <v>4108.77</v>
      </c>
      <c r="CC3" s="13">
        <f>CD3-CB3</f>
        <v>30.1999999999998</v>
      </c>
      <c r="CD3" s="13">
        <v>4138.97</v>
      </c>
      <c r="CE3" s="13">
        <f>CF3-CD3</f>
        <v>28.96</v>
      </c>
      <c r="CF3" s="13">
        <v>4167.93</v>
      </c>
      <c r="CG3" s="13">
        <f>CH3-CF3</f>
        <v>87.5099999999993</v>
      </c>
      <c r="CH3" s="13">
        <v>4255.44</v>
      </c>
      <c r="CI3" s="13">
        <f>CJ3-CH3</f>
        <v>49.25</v>
      </c>
      <c r="CJ3" s="13">
        <v>4304.69</v>
      </c>
      <c r="CK3" s="13">
        <f>CL3-CJ3</f>
        <v>26.9800000000005</v>
      </c>
      <c r="CL3" s="13">
        <v>4331.67</v>
      </c>
      <c r="CM3" s="13">
        <f>CN3-CL3</f>
        <v>20.75</v>
      </c>
      <c r="CN3" s="13">
        <v>4352.42</v>
      </c>
      <c r="CO3" s="13">
        <f>CP3-CN3</f>
        <v>33.1000000000004</v>
      </c>
      <c r="CP3" s="13">
        <v>4385.52</v>
      </c>
      <c r="CQ3" s="13">
        <f>CR3-CP3</f>
        <v>26.3599999999997</v>
      </c>
      <c r="CR3" s="13">
        <v>4411.88</v>
      </c>
      <c r="CS3" s="13">
        <f>CT3-CR3</f>
        <v>60.2299999999996</v>
      </c>
      <c r="CT3" s="13">
        <v>4472.11</v>
      </c>
      <c r="CU3" s="13">
        <f>CV3-CT3</f>
        <v>69.3200000000006</v>
      </c>
      <c r="CV3" s="13">
        <v>4541.43</v>
      </c>
      <c r="CW3" s="12">
        <f>CX3-CV3</f>
        <v>175.25</v>
      </c>
      <c r="CX3" s="13">
        <v>4716.68</v>
      </c>
      <c r="CY3" s="13">
        <f>CZ3-CX3</f>
        <v>17.4899999999998</v>
      </c>
      <c r="CZ3" s="13">
        <v>4734.17</v>
      </c>
      <c r="DA3" s="13">
        <f>DB3-CZ3</f>
        <v>69.4399999999996</v>
      </c>
      <c r="DB3" s="13">
        <v>4803.61</v>
      </c>
      <c r="DC3" s="13">
        <f>DD3-DB3</f>
        <v>67.0100000000002</v>
      </c>
      <c r="DD3" s="13">
        <v>4870.62</v>
      </c>
      <c r="DE3" s="13">
        <f>DF3-DD3</f>
        <v>56.1800000000003</v>
      </c>
      <c r="DF3" s="13">
        <v>4926.8</v>
      </c>
      <c r="DG3" s="13">
        <f>DH3-DF3</f>
        <v>-16.1300000000001</v>
      </c>
      <c r="DH3" s="13">
        <v>4910.67</v>
      </c>
      <c r="DI3" s="13">
        <f>DJ3-DH3</f>
        <v>74.96</v>
      </c>
      <c r="DJ3" s="13">
        <v>4985.63</v>
      </c>
      <c r="DK3" s="13">
        <f>DL3-DJ3</f>
        <v>89.8999999999996</v>
      </c>
      <c r="DL3" s="13">
        <v>5075.53</v>
      </c>
      <c r="DM3" s="13">
        <f>DN3-DL3</f>
        <v>74.7600000000002</v>
      </c>
      <c r="DN3" s="13">
        <v>5150.29</v>
      </c>
      <c r="DO3" s="12">
        <f>DP3-DN3</f>
        <v>17.6400000000003</v>
      </c>
      <c r="DP3" s="13">
        <v>5167.93</v>
      </c>
      <c r="DQ3" s="13">
        <f>DR3-DP3</f>
        <v>45.4099999999999</v>
      </c>
      <c r="DR3" s="13">
        <v>5213.34</v>
      </c>
      <c r="DS3" s="13">
        <f>DT3-DR3</f>
        <v>69.7299999999996</v>
      </c>
      <c r="DT3" s="13">
        <v>5283.07</v>
      </c>
      <c r="DU3" s="13">
        <f>DV3-DT3</f>
        <v>49.1000000000004</v>
      </c>
      <c r="DV3" s="13">
        <v>5332.17</v>
      </c>
      <c r="DW3" s="13">
        <f>DX3-DV3</f>
        <v>44.9200000000001</v>
      </c>
      <c r="DX3" s="13">
        <v>5377.09</v>
      </c>
      <c r="DY3" s="13">
        <f>DZ3-DX3</f>
        <v>95.6099999999997</v>
      </c>
      <c r="DZ3" s="13">
        <v>5472.7</v>
      </c>
      <c r="EA3" s="13">
        <f>EB3-DZ3</f>
        <v>75.0600000000004</v>
      </c>
      <c r="EB3" s="13">
        <v>5547.76</v>
      </c>
      <c r="EC3" s="13">
        <f>ED3-EB3</f>
        <v>98.9099999999999</v>
      </c>
      <c r="ED3" s="13">
        <v>5646.67</v>
      </c>
      <c r="EE3" s="13">
        <f>EF3-ED3</f>
        <v>-85.6800000000003</v>
      </c>
      <c r="EF3" s="13">
        <v>5560.99</v>
      </c>
      <c r="EG3" s="13">
        <f>EH3-EF3</f>
        <v>152.59</v>
      </c>
      <c r="EH3" s="13">
        <v>5713.58</v>
      </c>
      <c r="EI3" s="13">
        <f>EJ3-EH3</f>
        <v>71.1000000000004</v>
      </c>
      <c r="EJ3" s="13">
        <v>5784.68</v>
      </c>
      <c r="EK3" s="13">
        <f>EL3-EJ3</f>
        <v>0</v>
      </c>
      <c r="EL3" s="13">
        <v>5784.68</v>
      </c>
      <c r="EM3" s="13">
        <f>EN3-EL3</f>
        <v>0</v>
      </c>
      <c r="EN3" s="13">
        <v>5784.68</v>
      </c>
      <c r="EO3" s="13">
        <f>EP3-EN3</f>
        <v>0</v>
      </c>
      <c r="EP3" s="13">
        <v>5784.68</v>
      </c>
      <c r="EQ3" s="13">
        <f>ER3-EP3</f>
        <v>130.08</v>
      </c>
      <c r="ER3" s="13">
        <v>5914.76</v>
      </c>
      <c r="ES3" s="13">
        <f>ET3-ER3</f>
        <v>-18.8100000000004</v>
      </c>
      <c r="ET3" s="13">
        <v>5895.95</v>
      </c>
      <c r="EU3" s="13">
        <f>EV3-ET3</f>
        <v>121.04</v>
      </c>
      <c r="EV3" s="13">
        <v>6016.99</v>
      </c>
      <c r="EW3" s="13">
        <f>EX3-EV3</f>
        <v>19.5300000000007</v>
      </c>
      <c r="EX3" s="13">
        <v>6036.52</v>
      </c>
      <c r="EY3" s="13">
        <f>EZ3-EX3</f>
        <v>-52.0100000000002</v>
      </c>
      <c r="EZ3" s="13">
        <v>5984.51</v>
      </c>
      <c r="FA3" s="13">
        <f>FB3-EZ3</f>
        <v>45.0100000000002</v>
      </c>
      <c r="FB3" s="13">
        <v>6029.52</v>
      </c>
      <c r="FC3" s="13">
        <f>FD3-FB3</f>
        <v>-65.2300000000005</v>
      </c>
      <c r="FD3" s="13">
        <v>5964.29</v>
      </c>
      <c r="FE3" s="13">
        <f>FF3-FD3</f>
        <v>62.3500000000004</v>
      </c>
      <c r="FF3" s="13">
        <v>6026.64</v>
      </c>
      <c r="FG3" s="13">
        <f>FH3-FF3</f>
        <v>40.9399999999996</v>
      </c>
      <c r="FH3" s="12">
        <v>6067.58</v>
      </c>
      <c r="FI3" s="13">
        <f>FJ3-FH3</f>
        <v>41.9200000000001</v>
      </c>
      <c r="FJ3" s="13">
        <v>6109.5</v>
      </c>
      <c r="FK3" s="12" t="s">
        <v>105</v>
      </c>
      <c r="FL3" s="11">
        <v>2255.87</v>
      </c>
      <c r="FM3" s="11" t="s">
        <v>106</v>
      </c>
      <c r="FN3" s="11">
        <v>1211.82</v>
      </c>
      <c r="FO3" s="1">
        <v>20</v>
      </c>
      <c r="FP3" s="1">
        <v>1.2</v>
      </c>
      <c r="FQ3" s="1">
        <v>153852</v>
      </c>
      <c r="FR3" s="11">
        <f>2.3635/(FJ3/FL3)</f>
        <v>0.872698051395368</v>
      </c>
      <c r="FS3" s="11">
        <f>BP3-D3</f>
        <v>1584.75</v>
      </c>
      <c r="FT3" s="11">
        <f>FJ3-FB3</f>
        <v>79.9799999999996</v>
      </c>
    </row>
    <row r="4" spans="1:185">
      <c r="A4" s="1" t="s">
        <v>98</v>
      </c>
      <c r="B4" s="1" t="s">
        <v>107</v>
      </c>
      <c r="C4" s="1" t="s">
        <v>108</v>
      </c>
      <c r="D4" s="1">
        <v>1726.42</v>
      </c>
      <c r="E4" s="1">
        <f>F4-D4</f>
        <v>56.28</v>
      </c>
      <c r="F4" s="1">
        <v>1782.7</v>
      </c>
      <c r="G4" s="1">
        <f>H4-F4</f>
        <v>70.9199999999998</v>
      </c>
      <c r="H4" s="1">
        <v>1853.62</v>
      </c>
      <c r="I4" s="1">
        <f>J4-H4</f>
        <v>49.5800000000002</v>
      </c>
      <c r="J4" s="1">
        <v>1903.2</v>
      </c>
      <c r="K4" s="1">
        <f>L4-J4</f>
        <v>40.4099999999999</v>
      </c>
      <c r="L4" s="1">
        <v>1943.61</v>
      </c>
      <c r="M4" s="1">
        <f>N4-L4</f>
        <v>30.01</v>
      </c>
      <c r="N4" s="1">
        <v>1973.62</v>
      </c>
      <c r="O4" s="1">
        <f>P4-N4</f>
        <v>83.2800000000002</v>
      </c>
      <c r="P4" s="1">
        <v>2056.9</v>
      </c>
      <c r="Q4" s="1">
        <f>R4-P4</f>
        <v>25.6399999999999</v>
      </c>
      <c r="R4" s="1">
        <v>2082.54</v>
      </c>
      <c r="S4" s="1">
        <f>T4-R4</f>
        <v>66.46</v>
      </c>
      <c r="T4" s="1">
        <v>2149</v>
      </c>
      <c r="U4" s="1">
        <f>V4-T4</f>
        <v>43.5599999999999</v>
      </c>
      <c r="V4" s="10">
        <v>2192.56</v>
      </c>
      <c r="W4" s="1">
        <f>X4-V4</f>
        <v>46.3200000000002</v>
      </c>
      <c r="X4" s="10">
        <v>2238.88</v>
      </c>
      <c r="Y4" s="1">
        <f>Z4-X4</f>
        <v>17.23</v>
      </c>
      <c r="Z4" s="1">
        <v>2256.11</v>
      </c>
      <c r="AA4" s="1">
        <f>AB4-Z4</f>
        <v>97.5799999999999</v>
      </c>
      <c r="AB4" s="1">
        <v>2353.69</v>
      </c>
      <c r="AC4" s="1">
        <f>AD4-AB4</f>
        <v>58.8600000000001</v>
      </c>
      <c r="AD4" s="1">
        <v>2412.55</v>
      </c>
      <c r="AE4" s="11">
        <f>AF4-AD4</f>
        <v>33.52</v>
      </c>
      <c r="AF4" s="11">
        <v>2446.07</v>
      </c>
      <c r="AG4" s="11">
        <f>AH4-AF4</f>
        <v>77.4199999999996</v>
      </c>
      <c r="AH4" s="11">
        <v>2523.49</v>
      </c>
      <c r="AI4" s="11">
        <f>AJ4-AH4</f>
        <v>44.5500000000002</v>
      </c>
      <c r="AJ4" s="11">
        <v>2568.04</v>
      </c>
      <c r="AK4" s="11">
        <f>AL4-AJ4</f>
        <v>60.6700000000001</v>
      </c>
      <c r="AL4" s="11">
        <v>2628.71</v>
      </c>
      <c r="AM4" s="11">
        <f>AN4-AL4</f>
        <v>38.8600000000001</v>
      </c>
      <c r="AN4" s="11">
        <v>2667.57</v>
      </c>
      <c r="AO4" s="11">
        <f>AP4-AN4</f>
        <v>40.96</v>
      </c>
      <c r="AP4" s="11">
        <v>2708.53</v>
      </c>
      <c r="AQ4" s="11">
        <f>AR4-AP4</f>
        <v>53.2099999999996</v>
      </c>
      <c r="AR4" s="11">
        <v>2761.74</v>
      </c>
      <c r="AS4" s="11">
        <f>AT4-AR4</f>
        <v>44</v>
      </c>
      <c r="AT4" s="11">
        <v>2805.74</v>
      </c>
      <c r="AU4" s="12">
        <f>AV4-AT4</f>
        <v>57.5</v>
      </c>
      <c r="AV4" s="12">
        <v>2863.24</v>
      </c>
      <c r="AW4" s="13">
        <f>AX4-AV4</f>
        <v>54.4300000000003</v>
      </c>
      <c r="AX4" s="13">
        <v>2917.67</v>
      </c>
      <c r="AY4" s="13">
        <f>AZ4-AX4</f>
        <v>56.3800000000001</v>
      </c>
      <c r="AZ4" s="13">
        <v>2974.05</v>
      </c>
      <c r="BA4" s="13">
        <f>BB4-AZ4</f>
        <v>41.4399999999996</v>
      </c>
      <c r="BB4" s="13">
        <v>3015.49</v>
      </c>
      <c r="BC4" s="13">
        <f>BD4-BB4</f>
        <v>42.1400000000003</v>
      </c>
      <c r="BD4" s="13">
        <v>3057.63</v>
      </c>
      <c r="BE4" s="12">
        <f>BF4-BD4</f>
        <v>43.9899999999998</v>
      </c>
      <c r="BF4" s="13">
        <v>3101.62</v>
      </c>
      <c r="BG4" s="13">
        <f>BH4-BF4</f>
        <v>105.04</v>
      </c>
      <c r="BH4" s="13">
        <v>3206.66</v>
      </c>
      <c r="BI4" s="13">
        <f>BJ4-BH4</f>
        <v>38.7800000000002</v>
      </c>
      <c r="BJ4" s="13">
        <v>3245.44</v>
      </c>
      <c r="BK4" s="13">
        <f>BL4-BJ4</f>
        <v>30.5099999999998</v>
      </c>
      <c r="BL4" s="13">
        <v>3275.95</v>
      </c>
      <c r="BM4" s="13">
        <f>BN4-BL4</f>
        <v>44.8600000000001</v>
      </c>
      <c r="BN4" s="13">
        <v>3320.81</v>
      </c>
      <c r="BO4" s="13">
        <f>BP4-BN4</f>
        <v>59.8400000000001</v>
      </c>
      <c r="BP4" s="13">
        <v>3380.65</v>
      </c>
      <c r="BQ4" s="13">
        <f>BR4-BP4</f>
        <v>24.6300000000001</v>
      </c>
      <c r="BR4" s="13">
        <v>3405.28</v>
      </c>
      <c r="BS4" s="13">
        <f>BT4-BR4</f>
        <v>93.3399999999997</v>
      </c>
      <c r="BT4" s="13">
        <v>3498.62</v>
      </c>
      <c r="BU4" s="13">
        <f>BV4-BT4</f>
        <v>36.1300000000001</v>
      </c>
      <c r="BV4" s="13">
        <v>3534.75</v>
      </c>
      <c r="BW4" s="13">
        <f>BX4-BV4</f>
        <v>76.7600000000002</v>
      </c>
      <c r="BX4" s="13">
        <v>3611.51</v>
      </c>
      <c r="BY4" s="13">
        <f>BZ4-BX4</f>
        <v>39.77</v>
      </c>
      <c r="BZ4" s="13">
        <v>3651.28</v>
      </c>
      <c r="CA4" s="13">
        <f>CB4-BZ4</f>
        <v>37.25</v>
      </c>
      <c r="CB4" s="13">
        <v>3688.53</v>
      </c>
      <c r="CC4" s="13">
        <f>CD4-CB4</f>
        <v>79.0899999999997</v>
      </c>
      <c r="CD4" s="13">
        <v>3767.62</v>
      </c>
      <c r="CE4" s="13">
        <f>CF4-CD4</f>
        <v>46.3600000000001</v>
      </c>
      <c r="CF4" s="13">
        <v>3813.98</v>
      </c>
      <c r="CG4" s="13">
        <f>CH4-CF4</f>
        <v>88.1300000000001</v>
      </c>
      <c r="CH4" s="13">
        <v>3902.11</v>
      </c>
      <c r="CI4" s="13">
        <f>CJ4-CH4</f>
        <v>53.0799999999999</v>
      </c>
      <c r="CJ4" s="13">
        <v>3955.19</v>
      </c>
      <c r="CK4" s="13">
        <f>CL4-CJ4</f>
        <v>53.9200000000001</v>
      </c>
      <c r="CL4" s="13">
        <v>4009.11</v>
      </c>
      <c r="CM4" s="13">
        <f>CN4-CL4</f>
        <v>50.3099999999999</v>
      </c>
      <c r="CN4" s="13">
        <v>4059.42</v>
      </c>
      <c r="CO4" s="13">
        <f>CP4-CN4</f>
        <v>66.9799999999996</v>
      </c>
      <c r="CP4" s="13">
        <v>4126.4</v>
      </c>
      <c r="CQ4" s="13">
        <f>CR4-CP4</f>
        <v>45.1900000000005</v>
      </c>
      <c r="CR4" s="13">
        <v>4171.59</v>
      </c>
      <c r="CS4" s="13">
        <f>CT4-CR4</f>
        <v>130.22</v>
      </c>
      <c r="CT4" s="13">
        <v>4301.81</v>
      </c>
      <c r="CU4" s="13">
        <f>CV4-CT4</f>
        <v>63.2299999999996</v>
      </c>
      <c r="CV4" s="13">
        <v>4365.04</v>
      </c>
      <c r="CW4" s="12">
        <f>CX4-CV4</f>
        <v>53.1999999999998</v>
      </c>
      <c r="CX4" s="13">
        <v>4418.24</v>
      </c>
      <c r="CY4" s="13">
        <f>CZ4-CX4</f>
        <v>74.3299999999999</v>
      </c>
      <c r="CZ4" s="13">
        <v>4492.57</v>
      </c>
      <c r="DA4" s="13">
        <f>DB4-CZ4</f>
        <v>46.0799999999999</v>
      </c>
      <c r="DB4" s="13">
        <v>4538.65</v>
      </c>
      <c r="DC4" s="13">
        <f>DD4-DB4</f>
        <v>50.4400000000005</v>
      </c>
      <c r="DD4" s="13">
        <v>4589.09</v>
      </c>
      <c r="DE4" s="13">
        <f>DF4-DD4</f>
        <v>70.5599999999995</v>
      </c>
      <c r="DF4" s="13">
        <v>4659.65</v>
      </c>
      <c r="DG4" s="13">
        <f>DH4-DF4</f>
        <v>16.54</v>
      </c>
      <c r="DH4" s="13">
        <v>4676.19</v>
      </c>
      <c r="DI4" s="13">
        <f>DJ4-DH4</f>
        <v>51.5700000000006</v>
      </c>
      <c r="DJ4" s="13">
        <v>4727.76</v>
      </c>
      <c r="DK4" s="13">
        <f>DL4-DJ4</f>
        <v>39.5799999999999</v>
      </c>
      <c r="DL4" s="13">
        <v>4767.34</v>
      </c>
      <c r="DM4" s="13">
        <f>DN4-DL4</f>
        <v>65.6099999999997</v>
      </c>
      <c r="DN4" s="13">
        <v>4832.95</v>
      </c>
      <c r="DO4" s="12">
        <f>DP4-DN4</f>
        <v>100.79</v>
      </c>
      <c r="DP4" s="13">
        <v>4933.74</v>
      </c>
      <c r="DQ4" s="13">
        <f>DR4-DP4</f>
        <v>51.6400000000003</v>
      </c>
      <c r="DR4" s="13">
        <v>4985.38</v>
      </c>
      <c r="DS4" s="13">
        <f>DT4-DR4</f>
        <v>73.29</v>
      </c>
      <c r="DT4" s="13">
        <v>5058.67</v>
      </c>
      <c r="DU4" s="13">
        <f>DV4-DT4</f>
        <v>132.03</v>
      </c>
      <c r="DV4" s="13">
        <v>5190.7</v>
      </c>
      <c r="DW4" s="13">
        <f>DX4-DV4</f>
        <v>38.6500000000005</v>
      </c>
      <c r="DX4" s="13">
        <v>5229.35</v>
      </c>
      <c r="DY4" s="13">
        <f>DZ4-DX4</f>
        <v>59.46</v>
      </c>
      <c r="DZ4" s="13">
        <v>5288.81</v>
      </c>
      <c r="EA4" s="13">
        <f>EB4-DZ4</f>
        <v>26.2799999999997</v>
      </c>
      <c r="EB4" s="13">
        <v>5315.09</v>
      </c>
      <c r="EC4" s="13">
        <f>ED4-EB4</f>
        <v>54.79</v>
      </c>
      <c r="ED4" s="13">
        <v>5369.88</v>
      </c>
      <c r="EE4" s="13">
        <f>EF4-ED4</f>
        <v>52.5900000000001</v>
      </c>
      <c r="EF4" s="13">
        <v>5422.47</v>
      </c>
      <c r="EG4" s="13">
        <f>EH4-EF4</f>
        <v>44.5</v>
      </c>
      <c r="EH4" s="13">
        <v>5466.97</v>
      </c>
      <c r="EI4" s="13">
        <f>EJ4-EH4</f>
        <v>51.71</v>
      </c>
      <c r="EJ4" s="13">
        <v>5518.68</v>
      </c>
      <c r="EK4" s="13">
        <f>EL4-EJ4</f>
        <v>77.1700000000001</v>
      </c>
      <c r="EL4" s="13">
        <v>5595.85</v>
      </c>
      <c r="EM4" s="13">
        <f>EN4-EL4</f>
        <v>0</v>
      </c>
      <c r="EN4" s="13">
        <v>5595.85</v>
      </c>
      <c r="EO4" s="13">
        <f>EP4-EN4</f>
        <v>42.1399999999994</v>
      </c>
      <c r="EP4" s="13">
        <v>5637.99</v>
      </c>
      <c r="EQ4" s="13">
        <f>ER4-EP4</f>
        <v>39.9000000000005</v>
      </c>
      <c r="ER4" s="13">
        <v>5677.89</v>
      </c>
      <c r="ES4" s="13">
        <f>ET4-ER4</f>
        <v>38.4399999999996</v>
      </c>
      <c r="ET4" s="13">
        <v>5716.33</v>
      </c>
      <c r="EU4" s="13">
        <f>EV4-ET4</f>
        <v>31.5900000000001</v>
      </c>
      <c r="EV4" s="13">
        <v>5747.92</v>
      </c>
      <c r="EW4" s="13">
        <f>EX4-EV4</f>
        <v>20.1599999999999</v>
      </c>
      <c r="EX4" s="13">
        <v>5768.08</v>
      </c>
      <c r="EY4" s="13">
        <f>EZ4-EX4</f>
        <v>42.7600000000002</v>
      </c>
      <c r="EZ4" s="13">
        <v>5810.84</v>
      </c>
      <c r="FA4" s="13">
        <f>FB4-EZ4</f>
        <v>52.1599999999999</v>
      </c>
      <c r="FB4" s="13">
        <v>5863</v>
      </c>
      <c r="FC4" s="13">
        <f>FD4-FB4</f>
        <v>64.79</v>
      </c>
      <c r="FD4" s="13">
        <v>5927.79</v>
      </c>
      <c r="FE4" s="13">
        <f>FF4-FD4</f>
        <v>24.6800000000003</v>
      </c>
      <c r="FF4" s="13">
        <v>5952.47</v>
      </c>
      <c r="FG4" s="13">
        <f>FH4-FF4</f>
        <v>91.2599999999993</v>
      </c>
      <c r="FH4" s="12">
        <v>6043.73</v>
      </c>
      <c r="FI4" s="13">
        <f>FJ4-FH4</f>
        <v>61.6700000000001</v>
      </c>
      <c r="FJ4" s="13">
        <v>6105.4</v>
      </c>
      <c r="FK4" s="12" t="s">
        <v>109</v>
      </c>
      <c r="FL4" s="11">
        <v>2159.32</v>
      </c>
      <c r="FM4" s="11" t="s">
        <v>110</v>
      </c>
      <c r="FN4" s="11">
        <v>754.67</v>
      </c>
      <c r="FO4" s="1">
        <v>50</v>
      </c>
      <c r="FP4" s="1">
        <v>1.3</v>
      </c>
      <c r="FQ4" s="1">
        <v>124763</v>
      </c>
      <c r="FR4" s="11">
        <f>2.3635/(FJ4/FL4)</f>
        <v>0.835908019130606</v>
      </c>
      <c r="FS4" s="11">
        <f>BP4-D4</f>
        <v>1654.23</v>
      </c>
      <c r="FT4" s="11">
        <f>FJ4-FB4</f>
        <v>242.4</v>
      </c>
    </row>
    <row r="5" spans="1:185">
      <c r="A5" s="2" t="s">
        <v>98</v>
      </c>
      <c r="B5" s="2" t="s">
        <v>111</v>
      </c>
      <c r="C5" s="2" t="s">
        <v>108</v>
      </c>
      <c r="D5" s="2">
        <v>1425.22</v>
      </c>
      <c r="E5" s="2">
        <f>F5-D5</f>
        <v>64.8599999999999</v>
      </c>
      <c r="F5" s="2">
        <v>1490.08</v>
      </c>
      <c r="G5" s="2">
        <f>H5-F5</f>
        <v>46</v>
      </c>
      <c r="H5" s="2">
        <v>1536.08</v>
      </c>
      <c r="I5" s="2">
        <f>J5-H5</f>
        <v>50.8500000000001</v>
      </c>
      <c r="J5" s="2">
        <v>1586.93</v>
      </c>
      <c r="K5" s="2">
        <f>L5-J5</f>
        <v>86.5599999999999</v>
      </c>
      <c r="L5" s="2">
        <v>1673.49</v>
      </c>
      <c r="M5" s="2">
        <f>N5-L5</f>
        <v>38.5599999999999</v>
      </c>
      <c r="N5" s="2">
        <v>1712.05</v>
      </c>
      <c r="O5" s="2">
        <f>P5-N5</f>
        <v>57.0900000000001</v>
      </c>
      <c r="P5" s="2">
        <v>1769.14</v>
      </c>
      <c r="Q5" s="2">
        <f>R5-P5</f>
        <v>50.8699999999999</v>
      </c>
      <c r="R5" s="2">
        <v>1820.01</v>
      </c>
      <c r="S5" s="2">
        <f>T5-R5</f>
        <v>94.4300000000001</v>
      </c>
      <c r="T5" s="2">
        <v>1914.44</v>
      </c>
      <c r="U5" s="2">
        <f>V5-T5</f>
        <v>31.51</v>
      </c>
      <c r="V5" s="14">
        <v>1945.95</v>
      </c>
      <c r="W5" s="2">
        <f>X5-V5</f>
        <v>92.5899999999999</v>
      </c>
      <c r="X5" s="14">
        <v>2038.54</v>
      </c>
      <c r="Y5" s="2">
        <f>Z5-X5</f>
        <v>48.1399999999999</v>
      </c>
      <c r="Z5" s="2">
        <v>2086.68</v>
      </c>
      <c r="AA5" s="2">
        <f>AB5-Z5</f>
        <v>78.1300000000001</v>
      </c>
      <c r="AB5" s="2">
        <v>2164.81</v>
      </c>
      <c r="AC5" s="2">
        <f>AD5-AB5</f>
        <v>39.8400000000001</v>
      </c>
      <c r="AD5" s="2">
        <v>2204.65</v>
      </c>
      <c r="AE5" s="15">
        <f>AF5-AD5</f>
        <v>79.98</v>
      </c>
      <c r="AF5" s="15">
        <v>2284.63</v>
      </c>
      <c r="AG5" s="15">
        <f>AH5-AF5</f>
        <v>35.54</v>
      </c>
      <c r="AH5" s="15">
        <v>2320.17</v>
      </c>
      <c r="AI5" s="15">
        <f>AJ5-AH5</f>
        <v>53.4000000000001</v>
      </c>
      <c r="AJ5" s="15">
        <v>2373.57</v>
      </c>
      <c r="AK5" s="15">
        <f>AL5-AJ5</f>
        <v>36.6599999999999</v>
      </c>
      <c r="AL5" s="15">
        <v>2410.23</v>
      </c>
      <c r="AM5" s="15">
        <f>AN5-AL5</f>
        <v>51.25</v>
      </c>
      <c r="AN5" s="15">
        <v>2461.48</v>
      </c>
      <c r="AO5" s="15">
        <f>AP5-AN5</f>
        <v>66.4499999999998</v>
      </c>
      <c r="AP5" s="15">
        <v>2527.93</v>
      </c>
      <c r="AQ5" s="15">
        <f>AR5-AP5</f>
        <v>47.4900000000002</v>
      </c>
      <c r="AR5" s="15">
        <v>2575.42</v>
      </c>
      <c r="AS5" s="15">
        <f>AT5-AR5</f>
        <v>40.75</v>
      </c>
      <c r="AT5" s="15">
        <v>2616.17</v>
      </c>
      <c r="AU5" s="16">
        <f>AV5-AT5</f>
        <v>48.8499999999999</v>
      </c>
      <c r="AV5" s="16">
        <v>2665.02</v>
      </c>
      <c r="AW5" s="17">
        <f>AX5-AV5</f>
        <v>41.5999999999999</v>
      </c>
      <c r="AX5" s="17">
        <v>2706.62</v>
      </c>
      <c r="AY5" s="17">
        <f>AZ5-AX5</f>
        <v>42.8900000000003</v>
      </c>
      <c r="AZ5" s="17">
        <v>2749.51</v>
      </c>
      <c r="BA5" s="17">
        <f>BB5-AZ5</f>
        <v>35.6099999999997</v>
      </c>
      <c r="BB5" s="17">
        <v>2785.12</v>
      </c>
      <c r="BC5" s="17">
        <f>BD5-BB5</f>
        <v>30.4900000000002</v>
      </c>
      <c r="BD5" s="17">
        <v>2815.61</v>
      </c>
      <c r="BE5" s="16">
        <f>BF5-BD5</f>
        <v>72.29</v>
      </c>
      <c r="BF5" s="17">
        <v>2887.9</v>
      </c>
      <c r="BG5" s="17">
        <f>BH5-BF5</f>
        <v>44.9899999999998</v>
      </c>
      <c r="BH5" s="17">
        <v>2932.89</v>
      </c>
      <c r="BI5" s="17">
        <f>BJ5-BH5</f>
        <v>72.2400000000002</v>
      </c>
      <c r="BJ5" s="17">
        <v>3005.13</v>
      </c>
      <c r="BK5" s="17">
        <f>BL5-BJ5</f>
        <v>54.4699999999998</v>
      </c>
      <c r="BL5" s="17">
        <v>3059.6</v>
      </c>
      <c r="BM5" s="17">
        <f>BN5-BL5</f>
        <v>16.6700000000001</v>
      </c>
      <c r="BN5" s="17">
        <v>3076.27</v>
      </c>
      <c r="BO5" s="17">
        <f>BP5-BN5</f>
        <v>64.46</v>
      </c>
      <c r="BP5" s="17">
        <v>3140.73</v>
      </c>
      <c r="BQ5" s="17">
        <f>BR5-BP5</f>
        <v>68.6700000000001</v>
      </c>
      <c r="BR5" s="17">
        <v>3209.4</v>
      </c>
      <c r="BS5" s="17">
        <f>BT5-BR5</f>
        <v>59.4099999999999</v>
      </c>
      <c r="BT5" s="17">
        <v>3268.81</v>
      </c>
      <c r="BU5" s="17">
        <f>BV5-BT5</f>
        <v>44.3000000000002</v>
      </c>
      <c r="BV5" s="17">
        <v>3313.11</v>
      </c>
      <c r="BW5" s="17">
        <f>BX5-BV5</f>
        <v>32.3799999999997</v>
      </c>
      <c r="BX5" s="17">
        <v>3345.49</v>
      </c>
      <c r="BY5" s="17">
        <f>BZ5-BX5</f>
        <v>44.1300000000001</v>
      </c>
      <c r="BZ5" s="17">
        <v>3389.62</v>
      </c>
      <c r="CA5" s="17">
        <f>CB5-BZ5</f>
        <v>44.1100000000001</v>
      </c>
      <c r="CB5" s="17">
        <v>3433.73</v>
      </c>
      <c r="CC5" s="17">
        <f>CD5-CB5</f>
        <v>32.5599999999999</v>
      </c>
      <c r="CD5" s="17">
        <v>3466.29</v>
      </c>
      <c r="CE5" s="17">
        <f>CF5-CD5</f>
        <v>42.1199999999999</v>
      </c>
      <c r="CF5" s="17">
        <v>3508.41</v>
      </c>
      <c r="CG5" s="17">
        <f>CH5-CF5</f>
        <v>83.3000000000002</v>
      </c>
      <c r="CH5" s="17">
        <v>3591.71</v>
      </c>
      <c r="CI5" s="17">
        <f>CJ5-CH5</f>
        <v>89.1700000000001</v>
      </c>
      <c r="CJ5" s="17">
        <v>3680.88</v>
      </c>
      <c r="CK5" s="17">
        <f>CL5-CJ5</f>
        <v>43.0099999999998</v>
      </c>
      <c r="CL5" s="17">
        <v>3723.89</v>
      </c>
      <c r="CM5" s="17">
        <f>CN5-CL5</f>
        <v>35.3800000000001</v>
      </c>
      <c r="CN5" s="17">
        <v>3759.27</v>
      </c>
      <c r="CO5" s="17">
        <f>CP5-CN5</f>
        <v>49.6700000000001</v>
      </c>
      <c r="CP5" s="17">
        <v>3808.94</v>
      </c>
      <c r="CQ5" s="17">
        <f>CR5-CP5</f>
        <v>60.2799999999997</v>
      </c>
      <c r="CR5" s="17">
        <v>3869.22</v>
      </c>
      <c r="CS5" s="17">
        <f>CT5-CR5</f>
        <v>104.95</v>
      </c>
      <c r="CT5" s="17">
        <v>3974.17</v>
      </c>
      <c r="CU5" s="17">
        <f>CV5-CT5</f>
        <v>50.29</v>
      </c>
      <c r="CV5" s="17">
        <v>4024.46</v>
      </c>
      <c r="CW5" s="16">
        <f>CX5-CV5</f>
        <v>41.1999999999998</v>
      </c>
      <c r="CX5" s="17">
        <v>4065.66</v>
      </c>
      <c r="CY5" s="17">
        <f>CZ5-CX5</f>
        <v>43.3400000000001</v>
      </c>
      <c r="CZ5" s="17">
        <v>4109</v>
      </c>
      <c r="DA5" s="17">
        <f>DB5-CZ5</f>
        <v>40.9700000000003</v>
      </c>
      <c r="DB5" s="17">
        <v>4149.97</v>
      </c>
      <c r="DC5" s="17">
        <f>DD5-DB5</f>
        <v>60.8199999999997</v>
      </c>
      <c r="DD5" s="17">
        <v>4210.79</v>
      </c>
      <c r="DE5" s="17">
        <f>DF5-DD5</f>
        <v>57.8400000000001</v>
      </c>
      <c r="DF5" s="17">
        <v>4268.63</v>
      </c>
      <c r="DG5" s="17">
        <f>DH5-DF5</f>
        <v>36.7600000000002</v>
      </c>
      <c r="DH5" s="17">
        <v>4305.39</v>
      </c>
      <c r="DI5" s="17">
        <f>DJ5-DH5</f>
        <v>81.6199999999999</v>
      </c>
      <c r="DJ5" s="17">
        <v>4387.01</v>
      </c>
      <c r="DK5" s="17">
        <f>DL5-DJ5</f>
        <v>31.0799999999999</v>
      </c>
      <c r="DL5" s="17">
        <v>4418.09</v>
      </c>
      <c r="DM5" s="17">
        <f>DN5-DL5</f>
        <v>91.9099999999999</v>
      </c>
      <c r="DN5" s="17">
        <v>4510</v>
      </c>
      <c r="DO5" s="16">
        <f>DP5-DN5</f>
        <v>28.9200000000001</v>
      </c>
      <c r="DP5" s="17">
        <v>4538.92</v>
      </c>
      <c r="DQ5" s="17">
        <f>DR5-DP5</f>
        <v>23.96</v>
      </c>
      <c r="DR5" s="17">
        <v>4562.88</v>
      </c>
      <c r="DS5" s="17">
        <f>DT5-DR5</f>
        <v>26.8099999999995</v>
      </c>
      <c r="DT5" s="17">
        <v>4589.69</v>
      </c>
      <c r="DU5" s="17">
        <f>DV5-DT5</f>
        <v>29.9500000000007</v>
      </c>
      <c r="DV5" s="17">
        <v>4619.64</v>
      </c>
      <c r="DW5" s="17">
        <f>DX5-DV5</f>
        <v>30.0499999999993</v>
      </c>
      <c r="DX5" s="17">
        <v>4649.69</v>
      </c>
      <c r="DY5" s="17">
        <f>DZ5-DX5</f>
        <v>49.8200000000006</v>
      </c>
      <c r="DZ5" s="17">
        <v>4699.51</v>
      </c>
      <c r="EA5" s="17">
        <f>EB5-DZ5</f>
        <v>35.1300000000001</v>
      </c>
      <c r="EB5" s="17">
        <v>4734.64</v>
      </c>
      <c r="EC5" s="17">
        <f>ED5-EB5</f>
        <v>40.4799999999996</v>
      </c>
      <c r="ED5" s="17">
        <v>4775.12</v>
      </c>
      <c r="EE5" s="17">
        <f>EF5-ED5</f>
        <v>28.3800000000001</v>
      </c>
      <c r="EF5" s="17">
        <v>4803.5</v>
      </c>
      <c r="EG5" s="17">
        <f>EH5-EF5</f>
        <v>83</v>
      </c>
      <c r="EH5" s="17">
        <v>4886.5</v>
      </c>
      <c r="EI5" s="17">
        <f>EJ5-EH5</f>
        <v>53.79</v>
      </c>
      <c r="EJ5" s="17">
        <v>4940.29</v>
      </c>
      <c r="EK5" s="17">
        <f>EL5-EJ5</f>
        <v>12.96</v>
      </c>
      <c r="EL5" s="17">
        <v>4953.25</v>
      </c>
      <c r="EM5" s="17">
        <f>EN5-EL5</f>
        <v>1.01000000000022</v>
      </c>
      <c r="EN5" s="17">
        <v>4954.26</v>
      </c>
      <c r="EO5" s="17">
        <f>EP5-EN5</f>
        <v>3.27999999999975</v>
      </c>
      <c r="EP5" s="17">
        <v>4957.54</v>
      </c>
      <c r="EQ5" s="17">
        <f>ER5-EP5</f>
        <v>25.8599999999997</v>
      </c>
      <c r="ER5" s="17">
        <v>4983.4</v>
      </c>
      <c r="ES5" s="17">
        <f>ET5-ER5</f>
        <v>26.3100000000004</v>
      </c>
      <c r="ET5" s="17">
        <v>5009.71</v>
      </c>
      <c r="EU5" s="17">
        <f>EV5-ET5</f>
        <v>15.4799999999996</v>
      </c>
      <c r="EV5" s="17">
        <v>5025.19</v>
      </c>
      <c r="EW5" s="17">
        <f>EX5-EV5</f>
        <v>14.0100000000002</v>
      </c>
      <c r="EX5" s="17">
        <v>5039.2</v>
      </c>
      <c r="EY5" s="17">
        <f>EZ5-EX5</f>
        <v>16.2300000000005</v>
      </c>
      <c r="EZ5" s="17">
        <v>5055.43</v>
      </c>
      <c r="FA5" s="17">
        <f>FB5-EZ5</f>
        <v>5.50999999999931</v>
      </c>
      <c r="FB5" s="17">
        <v>5060.94</v>
      </c>
      <c r="FC5" s="17">
        <f>FD5-FB5</f>
        <v>11.5500000000002</v>
      </c>
      <c r="FD5" s="17">
        <v>5072.49</v>
      </c>
      <c r="FE5" s="17">
        <f>FF5-FD5</f>
        <v>22.75</v>
      </c>
      <c r="FF5" s="17">
        <v>5095.24</v>
      </c>
      <c r="FG5" s="17">
        <f>FH5-FF5</f>
        <v>14.5500000000002</v>
      </c>
      <c r="FH5" s="16">
        <v>5109.79</v>
      </c>
      <c r="FI5" s="17">
        <f>FJ5-FH5</f>
        <v>15.8999999999996</v>
      </c>
      <c r="FJ5" s="17">
        <v>5125.69</v>
      </c>
      <c r="FK5" s="16" t="s">
        <v>112</v>
      </c>
      <c r="FL5" s="15">
        <v>1357.57</v>
      </c>
      <c r="FM5" s="15" t="s">
        <v>112</v>
      </c>
      <c r="FN5" s="15">
        <v>748.71</v>
      </c>
      <c r="FO5" s="2">
        <v>20</v>
      </c>
      <c r="FP5" s="2">
        <v>1.1</v>
      </c>
      <c r="FQ5" s="2">
        <v>106867</v>
      </c>
      <c r="FR5" s="15">
        <f>2.3635/(FJ5/FL5)</f>
        <v>0.625987270982053</v>
      </c>
      <c r="FS5" s="15">
        <f>BP5-D5</f>
        <v>1715.51</v>
      </c>
      <c r="FT5" s="15">
        <f>FJ5-FB5</f>
        <v>64.75</v>
      </c>
      <c r="GC5">
        <v>4</v>
      </c>
    </row>
    <row r="6" spans="1:185">
      <c r="A6" s="2" t="s">
        <v>98</v>
      </c>
      <c r="B6" s="2" t="s">
        <v>113</v>
      </c>
      <c r="C6" s="2" t="s">
        <v>108</v>
      </c>
      <c r="D6" s="2">
        <v>1349.35</v>
      </c>
      <c r="E6" s="2">
        <f>F6-D6</f>
        <v>49.6200000000001</v>
      </c>
      <c r="F6" s="2">
        <v>1398.97</v>
      </c>
      <c r="G6" s="2">
        <f>H6-F6</f>
        <v>27.79</v>
      </c>
      <c r="H6" s="2">
        <v>1426.76</v>
      </c>
      <c r="I6" s="2">
        <f>J6-H6</f>
        <v>29.02</v>
      </c>
      <c r="J6" s="2">
        <v>1455.78</v>
      </c>
      <c r="K6" s="2">
        <f>L6-J6</f>
        <v>97.8800000000001</v>
      </c>
      <c r="L6" s="2">
        <v>1553.66</v>
      </c>
      <c r="M6" s="2">
        <f>N6-L6</f>
        <v>42.3599999999999</v>
      </c>
      <c r="N6" s="2">
        <v>1596.02</v>
      </c>
      <c r="O6" s="2">
        <f>P6-N6</f>
        <v>54.22</v>
      </c>
      <c r="P6" s="2">
        <v>1650.24</v>
      </c>
      <c r="Q6" s="2">
        <f>R6-P6</f>
        <v>35.5899999999999</v>
      </c>
      <c r="R6" s="2">
        <v>1685.83</v>
      </c>
      <c r="S6" s="2">
        <f>T6-R6</f>
        <v>68.1300000000001</v>
      </c>
      <c r="T6" s="2">
        <v>1753.96</v>
      </c>
      <c r="U6" s="2">
        <f>V6-T6</f>
        <v>58.5599999999999</v>
      </c>
      <c r="V6" s="14">
        <v>1812.52</v>
      </c>
      <c r="W6" s="2">
        <f>X6-V6</f>
        <v>67.21</v>
      </c>
      <c r="X6" s="14">
        <v>1879.73</v>
      </c>
      <c r="Y6" s="2">
        <f>Z6-X6</f>
        <v>20.22</v>
      </c>
      <c r="Z6" s="2">
        <v>1899.95</v>
      </c>
      <c r="AA6" s="2">
        <f>AB6-Z6</f>
        <v>35.0999999999999</v>
      </c>
      <c r="AB6" s="2">
        <v>1935.05</v>
      </c>
      <c r="AC6" s="2">
        <f>AD6-AB6</f>
        <v>44.73</v>
      </c>
      <c r="AD6" s="2">
        <v>1979.78</v>
      </c>
      <c r="AE6" s="15">
        <f>AF6-AD6</f>
        <v>31.1700000000001</v>
      </c>
      <c r="AF6" s="15">
        <v>2010.95</v>
      </c>
      <c r="AG6" s="15">
        <f>AH6-AF6</f>
        <v>51.4100000000001</v>
      </c>
      <c r="AH6" s="15">
        <v>2062.36</v>
      </c>
      <c r="AI6" s="15">
        <f>AJ6-AH6</f>
        <v>64.9899999999998</v>
      </c>
      <c r="AJ6" s="15">
        <v>2127.35</v>
      </c>
      <c r="AK6" s="15">
        <f>AL6-AJ6</f>
        <v>21.6500000000001</v>
      </c>
      <c r="AL6" s="15">
        <v>2149</v>
      </c>
      <c r="AM6" s="15">
        <f>AN6-AL6</f>
        <v>29.3899999999999</v>
      </c>
      <c r="AN6" s="15">
        <v>2178.39</v>
      </c>
      <c r="AO6" s="15">
        <f>AP6-AN6</f>
        <v>28.6100000000001</v>
      </c>
      <c r="AP6" s="15">
        <v>2207</v>
      </c>
      <c r="AQ6" s="15">
        <f>AR6-AP6</f>
        <v>17.4099999999999</v>
      </c>
      <c r="AR6" s="15">
        <v>2224.41</v>
      </c>
      <c r="AS6" s="15">
        <f>AT6-AR6</f>
        <v>21.0700000000002</v>
      </c>
      <c r="AT6" s="15">
        <v>2245.48</v>
      </c>
      <c r="AU6" s="16">
        <f>AV6-AT6</f>
        <v>94.73</v>
      </c>
      <c r="AV6" s="16">
        <v>2340.21</v>
      </c>
      <c r="AW6" s="17">
        <f>AX6-AV6</f>
        <v>25.7199999999998</v>
      </c>
      <c r="AX6" s="17">
        <v>2365.93</v>
      </c>
      <c r="AY6" s="17">
        <f>AZ6-AX6</f>
        <v>69.3800000000001</v>
      </c>
      <c r="AZ6" s="17">
        <v>2435.31</v>
      </c>
      <c r="BA6" s="17">
        <f>BB6-AZ6</f>
        <v>48.79</v>
      </c>
      <c r="BB6" s="17">
        <v>2484.1</v>
      </c>
      <c r="BC6" s="17">
        <f>BD6-BB6</f>
        <v>4.57999999999993</v>
      </c>
      <c r="BD6" s="17">
        <v>2488.68</v>
      </c>
      <c r="BE6" s="16">
        <f>BF6-BD6</f>
        <v>42.2000000000003</v>
      </c>
      <c r="BF6" s="17">
        <v>2530.88</v>
      </c>
      <c r="BG6" s="17">
        <f>BH6-BF6</f>
        <v>24.9400000000001</v>
      </c>
      <c r="BH6" s="17">
        <v>2555.82</v>
      </c>
      <c r="BI6" s="17">
        <f>BJ6-BH6</f>
        <v>52.77</v>
      </c>
      <c r="BJ6" s="17">
        <v>2608.59</v>
      </c>
      <c r="BK6" s="17">
        <f>BL6-BJ6</f>
        <v>55.8799999999997</v>
      </c>
      <c r="BL6" s="17">
        <v>2664.47</v>
      </c>
      <c r="BM6" s="17">
        <f>BN6-BL6</f>
        <v>21.2000000000003</v>
      </c>
      <c r="BN6" s="17">
        <v>2685.67</v>
      </c>
      <c r="BO6" s="17">
        <f>BP6-BN6</f>
        <v>32.02</v>
      </c>
      <c r="BP6" s="17">
        <v>2717.69</v>
      </c>
      <c r="BQ6" s="17">
        <f>BR6-BP6</f>
        <v>24.5999999999999</v>
      </c>
      <c r="BR6" s="17">
        <v>2742.29</v>
      </c>
      <c r="BS6" s="17">
        <f>BT6-BR6</f>
        <v>14.79</v>
      </c>
      <c r="BT6" s="17">
        <v>2757.08</v>
      </c>
      <c r="BU6" s="17">
        <f>BV6-BT6</f>
        <v>70.6700000000001</v>
      </c>
      <c r="BV6" s="17">
        <v>2827.75</v>
      </c>
      <c r="BW6" s="17">
        <f>BX6-BV6</f>
        <v>56.4400000000001</v>
      </c>
      <c r="BX6" s="17">
        <v>2884.19</v>
      </c>
      <c r="BY6" s="17">
        <f>BZ6-BX6</f>
        <v>33.4200000000001</v>
      </c>
      <c r="BZ6" s="17">
        <v>2917.61</v>
      </c>
      <c r="CA6" s="17">
        <f>CB6-BZ6</f>
        <v>57.9000000000001</v>
      </c>
      <c r="CB6" s="17">
        <v>2975.51</v>
      </c>
      <c r="CC6" s="17">
        <f>CD6-CB6</f>
        <v>90.8599999999997</v>
      </c>
      <c r="CD6" s="17">
        <v>3066.37</v>
      </c>
      <c r="CE6" s="17">
        <f>CF6-CD6</f>
        <v>161.05</v>
      </c>
      <c r="CF6" s="17">
        <v>3227.42</v>
      </c>
      <c r="CG6" s="17">
        <f>CH6-CF6</f>
        <v>36.6700000000001</v>
      </c>
      <c r="CH6" s="17">
        <v>3264.09</v>
      </c>
      <c r="CI6" s="17">
        <f>CJ6-CH6</f>
        <v>72.0899999999997</v>
      </c>
      <c r="CJ6" s="17">
        <v>3336.18</v>
      </c>
      <c r="CK6" s="17">
        <f>CL6-CJ6</f>
        <v>32.7800000000002</v>
      </c>
      <c r="CL6" s="17">
        <v>3368.96</v>
      </c>
      <c r="CM6" s="17">
        <f>CN6-CL6</f>
        <v>40.8299999999999</v>
      </c>
      <c r="CN6" s="17">
        <v>3409.79</v>
      </c>
      <c r="CO6" s="17">
        <f>CP6-CN6</f>
        <v>23.02</v>
      </c>
      <c r="CP6" s="17">
        <v>3432.81</v>
      </c>
      <c r="CQ6" s="17">
        <f>CR6-CP6</f>
        <v>43.9500000000003</v>
      </c>
      <c r="CR6" s="17">
        <v>3476.76</v>
      </c>
      <c r="CS6" s="17">
        <f>CT6-CR6</f>
        <v>76</v>
      </c>
      <c r="CT6" s="17">
        <v>3552.76</v>
      </c>
      <c r="CU6" s="17">
        <f>CV6-CT6</f>
        <v>40.6499999999996</v>
      </c>
      <c r="CV6" s="17">
        <v>3593.41</v>
      </c>
      <c r="CW6" s="16">
        <f>CX6-CV6</f>
        <v>34.1300000000001</v>
      </c>
      <c r="CX6" s="17">
        <v>3627.54</v>
      </c>
      <c r="CY6" s="17">
        <f>CZ6-CX6</f>
        <v>63.5599999999999</v>
      </c>
      <c r="CZ6" s="17">
        <v>3691.1</v>
      </c>
      <c r="DA6" s="17">
        <f>DB6-CZ6</f>
        <v>43.3800000000001</v>
      </c>
      <c r="DB6" s="17">
        <v>3734.48</v>
      </c>
      <c r="DC6" s="17">
        <f>DD6-DB6</f>
        <v>57.9699999999998</v>
      </c>
      <c r="DD6" s="17">
        <v>3792.45</v>
      </c>
      <c r="DE6" s="17">
        <f>DF6-DD6</f>
        <v>53.6100000000001</v>
      </c>
      <c r="DF6" s="17">
        <v>3846.06</v>
      </c>
      <c r="DG6" s="17">
        <f>DH6-DF6</f>
        <v>32.0900000000001</v>
      </c>
      <c r="DH6" s="17">
        <v>3878.15</v>
      </c>
      <c r="DI6" s="17">
        <f>DJ6-DH6</f>
        <v>50.4299999999998</v>
      </c>
      <c r="DJ6" s="17">
        <v>3928.58</v>
      </c>
      <c r="DK6" s="17">
        <f>DL6-DJ6</f>
        <v>22.9500000000003</v>
      </c>
      <c r="DL6" s="17">
        <v>3951.53</v>
      </c>
      <c r="DM6" s="17">
        <f>DN6-DL6</f>
        <v>35.1299999999997</v>
      </c>
      <c r="DN6" s="17">
        <v>3986.66</v>
      </c>
      <c r="DO6" s="16">
        <f>DP6-DN6</f>
        <v>56.3400000000001</v>
      </c>
      <c r="DP6" s="17">
        <v>4043</v>
      </c>
      <c r="DQ6" s="17">
        <f>DR6-DP6</f>
        <v>18.9099999999999</v>
      </c>
      <c r="DR6" s="17">
        <v>4061.91</v>
      </c>
      <c r="DS6" s="17">
        <f>DT6-DR6</f>
        <v>55.6999999999998</v>
      </c>
      <c r="DT6" s="17">
        <v>4117.61</v>
      </c>
      <c r="DU6" s="17">
        <f>DV6-DT6</f>
        <v>64.9300000000003</v>
      </c>
      <c r="DV6" s="17">
        <v>4182.54</v>
      </c>
      <c r="DW6" s="17">
        <f>DX6-DV6</f>
        <v>32.5500000000002</v>
      </c>
      <c r="DX6" s="17">
        <v>4215.09</v>
      </c>
      <c r="DY6" s="17">
        <f>DZ6-DX6</f>
        <v>26.0100000000002</v>
      </c>
      <c r="DZ6" s="17">
        <v>4241.1</v>
      </c>
      <c r="EA6" s="17">
        <f>EB6-DZ6</f>
        <v>190.809999999999</v>
      </c>
      <c r="EB6" s="17">
        <v>4431.91</v>
      </c>
      <c r="EC6" s="17">
        <f>ED6-EB6</f>
        <v>108.85</v>
      </c>
      <c r="ED6" s="17">
        <v>4540.76</v>
      </c>
      <c r="EE6" s="17">
        <f>EF6-ED6</f>
        <v>63.2600000000002</v>
      </c>
      <c r="EF6" s="17">
        <v>4604.02</v>
      </c>
      <c r="EG6" s="17">
        <f>EH6-EF6</f>
        <v>24.4399999999996</v>
      </c>
      <c r="EH6" s="17">
        <v>4628.46</v>
      </c>
      <c r="EI6" s="17">
        <f>EJ6-EH6</f>
        <v>58.5199999999995</v>
      </c>
      <c r="EJ6" s="17">
        <v>4686.98</v>
      </c>
      <c r="EK6" s="17">
        <f>EL6-EJ6</f>
        <v>34.5</v>
      </c>
      <c r="EL6" s="17">
        <v>4721.48</v>
      </c>
      <c r="EM6" s="17">
        <f>EN6-EL6</f>
        <v>-59.7599999999993</v>
      </c>
      <c r="EN6" s="17">
        <v>4661.72</v>
      </c>
      <c r="EO6" s="17">
        <f>EP6-EN6</f>
        <v>109.99</v>
      </c>
      <c r="EP6" s="17">
        <v>4771.71</v>
      </c>
      <c r="EQ6" s="17">
        <f>ER6-EP6</f>
        <v>20.2299999999996</v>
      </c>
      <c r="ER6" s="17">
        <v>4791.94</v>
      </c>
      <c r="ES6" s="17">
        <f>ET6-ER6</f>
        <v>22.1000000000004</v>
      </c>
      <c r="ET6" s="17">
        <v>4814.04</v>
      </c>
      <c r="EU6" s="17">
        <f>EV6-ET6</f>
        <v>25.8800000000001</v>
      </c>
      <c r="EV6" s="17">
        <v>4839.92</v>
      </c>
      <c r="EW6" s="17">
        <f>EX6-EV6</f>
        <v>11.0100000000002</v>
      </c>
      <c r="EX6" s="17">
        <v>4850.93</v>
      </c>
      <c r="EY6" s="17">
        <f>EZ6-EX6</f>
        <v>21.9099999999999</v>
      </c>
      <c r="EZ6" s="17">
        <v>4872.84</v>
      </c>
      <c r="FA6" s="17">
        <f>FB6-EZ6</f>
        <v>17.9300000000003</v>
      </c>
      <c r="FB6" s="17">
        <v>4890.77</v>
      </c>
      <c r="FC6" s="17">
        <f>FD6-FB6</f>
        <v>20.1599999999999</v>
      </c>
      <c r="FD6" s="17">
        <v>4910.93</v>
      </c>
      <c r="FE6" s="17">
        <f>FF6-FD6</f>
        <v>20.71</v>
      </c>
      <c r="FF6" s="17">
        <v>4931.64</v>
      </c>
      <c r="FG6" s="17">
        <f>FH6-FF6</f>
        <v>19.6499999999996</v>
      </c>
      <c r="FH6" s="16">
        <v>4951.29</v>
      </c>
      <c r="FI6" s="17">
        <f>FJ6-FH6</f>
        <v>13.4399999999996</v>
      </c>
      <c r="FJ6" s="17">
        <v>4964.73</v>
      </c>
      <c r="FK6" s="16" t="s">
        <v>114</v>
      </c>
      <c r="FL6" s="15">
        <v>1045.9</v>
      </c>
      <c r="FM6" s="15" t="s">
        <v>112</v>
      </c>
      <c r="FN6" s="15">
        <v>645.48</v>
      </c>
      <c r="FO6" s="2">
        <v>20</v>
      </c>
      <c r="FP6" s="2">
        <v>3.2</v>
      </c>
      <c r="FQ6" s="2">
        <v>109106</v>
      </c>
      <c r="FR6" s="15">
        <f>2.3635/(FJ6/FL6)</f>
        <v>0.497909181365351</v>
      </c>
      <c r="FS6" s="15">
        <f>BP6-D6</f>
        <v>1368.34</v>
      </c>
      <c r="FT6" s="15">
        <f>FJ6-FB6</f>
        <v>73.9599999999991</v>
      </c>
    </row>
    <row r="7" spans="1:185">
      <c r="A7" s="3" t="s">
        <v>98</v>
      </c>
      <c r="B7" s="3" t="s">
        <v>115</v>
      </c>
      <c r="C7" s="3" t="s">
        <v>116</v>
      </c>
      <c r="D7" s="3">
        <v>848.93</v>
      </c>
      <c r="E7" s="3">
        <f>F7-D7</f>
        <v>34.5600000000001</v>
      </c>
      <c r="F7" s="3">
        <v>883.49</v>
      </c>
      <c r="G7" s="3">
        <f>H7-F7</f>
        <v>46.08</v>
      </c>
      <c r="H7" s="3">
        <v>929.57</v>
      </c>
      <c r="I7" s="3">
        <f>J7-H7</f>
        <v>27.7399999999999</v>
      </c>
      <c r="J7" s="3">
        <v>957.31</v>
      </c>
      <c r="K7" s="3">
        <f>L7-J7</f>
        <v>47.36</v>
      </c>
      <c r="L7" s="3">
        <v>1004.67</v>
      </c>
      <c r="M7" s="3">
        <f>N7-L7</f>
        <v>25.9399999999999</v>
      </c>
      <c r="N7" s="3">
        <v>1030.61</v>
      </c>
      <c r="O7" s="3">
        <f>P7-N7</f>
        <v>37.71</v>
      </c>
      <c r="P7" s="3">
        <v>1068.32</v>
      </c>
      <c r="Q7" s="3">
        <f>R7-P7</f>
        <v>18.3800000000001</v>
      </c>
      <c r="R7" s="3">
        <v>1086.7</v>
      </c>
      <c r="S7" s="3">
        <f>T7-R7</f>
        <v>21.04</v>
      </c>
      <c r="T7" s="3">
        <v>1107.74</v>
      </c>
      <c r="U7" s="3">
        <f>V7-T7</f>
        <v>32.7</v>
      </c>
      <c r="V7" s="18">
        <v>1140.44</v>
      </c>
      <c r="W7" s="3">
        <f>X7-V7</f>
        <v>26.9299999999998</v>
      </c>
      <c r="X7" s="18">
        <v>1167.37</v>
      </c>
      <c r="Y7" s="3">
        <f>Z7-X7</f>
        <v>37.0300000000002</v>
      </c>
      <c r="Z7" s="3">
        <v>1204.4</v>
      </c>
      <c r="AA7" s="3">
        <f>AB7-Z7</f>
        <v>33.6199999999999</v>
      </c>
      <c r="AB7" s="3">
        <v>1238.02</v>
      </c>
      <c r="AC7" s="3">
        <f>AD7-AB7</f>
        <v>53.73</v>
      </c>
      <c r="AD7" s="3">
        <v>1291.75</v>
      </c>
      <c r="AE7" s="19">
        <f>AF7-AD7</f>
        <v>23.99</v>
      </c>
      <c r="AF7" s="19">
        <v>1315.74</v>
      </c>
      <c r="AG7" s="19">
        <f>AH7-AF7</f>
        <v>29.53</v>
      </c>
      <c r="AH7" s="19">
        <v>1345.27</v>
      </c>
      <c r="AI7" s="19">
        <f>AJ7-AH7</f>
        <v>26.6100000000001</v>
      </c>
      <c r="AJ7" s="19">
        <v>1371.88</v>
      </c>
      <c r="AK7" s="19">
        <f>AL7-AJ7</f>
        <v>40.3999999999999</v>
      </c>
      <c r="AL7" s="19">
        <v>1412.28</v>
      </c>
      <c r="AM7" s="19">
        <f>AN7-AL7</f>
        <v>19.74</v>
      </c>
      <c r="AN7" s="19">
        <v>1432.02</v>
      </c>
      <c r="AO7" s="19">
        <f>AP7-AN7</f>
        <v>53.23</v>
      </c>
      <c r="AP7" s="19">
        <v>1485.25</v>
      </c>
      <c r="AQ7" s="19">
        <f>AR7-AP7</f>
        <v>21.1800000000001</v>
      </c>
      <c r="AR7" s="19">
        <v>1506.43</v>
      </c>
      <c r="AS7" s="19">
        <f>AT7-AR7</f>
        <v>17.1199999999999</v>
      </c>
      <c r="AT7" s="19">
        <v>1523.55</v>
      </c>
      <c r="AU7" s="20">
        <f>AV7-AT7</f>
        <v>52.4000000000001</v>
      </c>
      <c r="AV7" s="20">
        <v>1575.95</v>
      </c>
      <c r="AW7" s="21">
        <f>AX7-AV7</f>
        <v>22.8</v>
      </c>
      <c r="AX7" s="21">
        <v>1598.75</v>
      </c>
      <c r="AY7" s="21">
        <f>AZ7-AX7</f>
        <v>41.49</v>
      </c>
      <c r="AZ7" s="21">
        <v>1640.24</v>
      </c>
      <c r="BA7" s="21">
        <f>BB7-AZ7</f>
        <v>17.73</v>
      </c>
      <c r="BB7" s="21">
        <v>1657.97</v>
      </c>
      <c r="BC7" s="21">
        <f>BD7-BB7</f>
        <v>17.8899999999999</v>
      </c>
      <c r="BD7" s="21">
        <v>1675.86</v>
      </c>
      <c r="BE7" s="20">
        <f>BF7-BD7</f>
        <v>36.3500000000001</v>
      </c>
      <c r="BF7" s="21">
        <v>1712.21</v>
      </c>
      <c r="BG7" s="21">
        <f>BH7-BF7</f>
        <v>39.54</v>
      </c>
      <c r="BH7" s="21">
        <v>1751.75</v>
      </c>
      <c r="BI7" s="21">
        <f>BJ7-BH7</f>
        <v>13.1800000000001</v>
      </c>
      <c r="BJ7" s="21">
        <v>1764.93</v>
      </c>
      <c r="BK7" s="21">
        <f>BL7-BJ7</f>
        <v>13.76</v>
      </c>
      <c r="BL7" s="21">
        <v>1778.69</v>
      </c>
      <c r="BM7" s="21">
        <f>BN7-BL7</f>
        <v>13.1299999999999</v>
      </c>
      <c r="BN7" s="21">
        <v>1791.82</v>
      </c>
      <c r="BO7" s="21">
        <f>BP7-BN7</f>
        <v>24.24</v>
      </c>
      <c r="BP7" s="21">
        <v>1816.06</v>
      </c>
      <c r="BQ7" s="21">
        <f>BR7-BP7</f>
        <v>16.3</v>
      </c>
      <c r="BR7" s="21">
        <v>1832.36</v>
      </c>
      <c r="BS7" s="21">
        <f>BT7-BR7</f>
        <v>33.98</v>
      </c>
      <c r="BT7" s="21">
        <v>1866.34</v>
      </c>
      <c r="BU7" s="21">
        <f>BV7-BT7</f>
        <v>15.5600000000002</v>
      </c>
      <c r="BV7" s="21">
        <v>1881.9</v>
      </c>
      <c r="BW7" s="21">
        <f>BX7-BV7</f>
        <v>34.51</v>
      </c>
      <c r="BX7" s="21">
        <v>1916.41</v>
      </c>
      <c r="BY7" s="21">
        <f>BZ7-BX7</f>
        <v>21.02</v>
      </c>
      <c r="BZ7" s="21">
        <v>1937.43</v>
      </c>
      <c r="CA7" s="21">
        <f>CB7-BZ7</f>
        <v>34.8799999999999</v>
      </c>
      <c r="CB7" s="21">
        <v>1972.31</v>
      </c>
      <c r="CC7" s="21">
        <f>CD7-CB7</f>
        <v>30.26</v>
      </c>
      <c r="CD7" s="21">
        <v>2002.57</v>
      </c>
      <c r="CE7" s="21">
        <f>CF7-CD7</f>
        <v>22.74</v>
      </c>
      <c r="CF7" s="21">
        <v>2025.31</v>
      </c>
      <c r="CG7" s="21">
        <f>CH7-CF7</f>
        <v>47.1799999999998</v>
      </c>
      <c r="CH7" s="21">
        <v>2072.49</v>
      </c>
      <c r="CI7" s="21">
        <f>CJ7-CH7</f>
        <v>42.1100000000001</v>
      </c>
      <c r="CJ7" s="21">
        <v>2114.6</v>
      </c>
      <c r="CK7" s="21">
        <f>CL7-CJ7</f>
        <v>16.4500000000003</v>
      </c>
      <c r="CL7" s="21">
        <v>2131.05</v>
      </c>
      <c r="CM7" s="21">
        <f>CN7-CL7</f>
        <v>11.02</v>
      </c>
      <c r="CN7" s="21">
        <v>2142.07</v>
      </c>
      <c r="CO7" s="21">
        <f>CP7-CN7</f>
        <v>4.62999999999965</v>
      </c>
      <c r="CP7" s="21">
        <v>2146.7</v>
      </c>
      <c r="CQ7" s="21">
        <f>CR7-CP7</f>
        <v>26.1200000000003</v>
      </c>
      <c r="CR7" s="21">
        <v>2172.82</v>
      </c>
      <c r="CS7" s="21">
        <f>CT7-CR7</f>
        <v>85.5899999999997</v>
      </c>
      <c r="CT7" s="21">
        <v>2258.41</v>
      </c>
      <c r="CU7" s="21">
        <f>CV7-CT7</f>
        <v>28.8800000000001</v>
      </c>
      <c r="CV7" s="21">
        <v>2287.29</v>
      </c>
      <c r="CW7" s="20">
        <f>CX7-CV7</f>
        <v>20.4700000000003</v>
      </c>
      <c r="CX7" s="21">
        <v>2307.76</v>
      </c>
      <c r="CY7" s="21">
        <f>CZ7-CX7</f>
        <v>17.9299999999998</v>
      </c>
      <c r="CZ7" s="21">
        <v>2325.69</v>
      </c>
      <c r="DA7" s="21">
        <f>DB7-CZ7</f>
        <v>20.1900000000001</v>
      </c>
      <c r="DB7" s="21">
        <v>2345.88</v>
      </c>
      <c r="DC7" s="21">
        <f>DD7-DB7</f>
        <v>29.1399999999999</v>
      </c>
      <c r="DD7" s="21">
        <v>2375.02</v>
      </c>
      <c r="DE7" s="21">
        <f>DF7-DD7</f>
        <v>31.1799999999998</v>
      </c>
      <c r="DF7" s="21">
        <v>2406.2</v>
      </c>
      <c r="DG7" s="21">
        <f>DH7-DF7</f>
        <v>18.8600000000001</v>
      </c>
      <c r="DH7" s="21">
        <v>2425.06</v>
      </c>
      <c r="DI7" s="21">
        <f>DJ7-DH7</f>
        <v>35.0900000000001</v>
      </c>
      <c r="DJ7" s="21">
        <v>2460.15</v>
      </c>
      <c r="DK7" s="21">
        <f>DL7-DJ7</f>
        <v>14.3800000000001</v>
      </c>
      <c r="DL7" s="21">
        <v>2474.53</v>
      </c>
      <c r="DM7" s="21">
        <f>DN7-DL7</f>
        <v>21.7099999999996</v>
      </c>
      <c r="DN7" s="21">
        <v>2496.24</v>
      </c>
      <c r="DO7" s="20">
        <f>DP7-DN7</f>
        <v>21.0900000000001</v>
      </c>
      <c r="DP7" s="21">
        <v>2517.33</v>
      </c>
      <c r="DQ7" s="21">
        <f>DR7-DP7</f>
        <v>23.04</v>
      </c>
      <c r="DR7" s="21">
        <v>2540.37</v>
      </c>
      <c r="DS7" s="21">
        <f>DT7-DR7</f>
        <v>17.1600000000003</v>
      </c>
      <c r="DT7" s="21">
        <v>2557.53</v>
      </c>
      <c r="DU7" s="21">
        <f>DV7-DT7</f>
        <v>24.04</v>
      </c>
      <c r="DV7" s="21">
        <v>2581.57</v>
      </c>
      <c r="DW7" s="21">
        <f>DX7-DV7</f>
        <v>18.5</v>
      </c>
      <c r="DX7" s="21">
        <v>2600.07</v>
      </c>
      <c r="DY7" s="21">
        <f>DZ7-DX7</f>
        <v>42.25</v>
      </c>
      <c r="DZ7" s="21">
        <v>2642.32</v>
      </c>
      <c r="EA7" s="21">
        <f>EB7-DZ7</f>
        <v>5.78999999999996</v>
      </c>
      <c r="EB7" s="21">
        <v>2648.11</v>
      </c>
      <c r="EC7" s="21">
        <f>ED7-EB7</f>
        <v>9.62999999999965</v>
      </c>
      <c r="ED7" s="21">
        <v>2657.74</v>
      </c>
      <c r="EE7" s="21">
        <f>EF7-ED7</f>
        <v>15.6100000000001</v>
      </c>
      <c r="EF7" s="21">
        <v>2673.35</v>
      </c>
      <c r="EG7" s="21">
        <f>EH7-EF7</f>
        <v>2.74000000000024</v>
      </c>
      <c r="EH7" s="21">
        <v>2676.09</v>
      </c>
      <c r="EI7" s="21">
        <f>EJ7-EH7</f>
        <v>26.8699999999999</v>
      </c>
      <c r="EJ7" s="21">
        <v>2702.96</v>
      </c>
      <c r="EK7" s="21">
        <f>EL7-EJ7</f>
        <v>35.9299999999998</v>
      </c>
      <c r="EL7" s="21">
        <v>2738.89</v>
      </c>
      <c r="EM7" s="21">
        <f>EN7-EL7</f>
        <v>5.05000000000018</v>
      </c>
      <c r="EN7" s="21">
        <v>2743.94</v>
      </c>
      <c r="EO7" s="21">
        <f>EP7-EN7</f>
        <v>15.4899999999998</v>
      </c>
      <c r="EP7" s="21">
        <v>2759.43</v>
      </c>
      <c r="EQ7" s="21">
        <f>ER7-EP7</f>
        <v>0.460000000000036</v>
      </c>
      <c r="ER7" s="21">
        <v>2759.89</v>
      </c>
      <c r="ES7" s="21">
        <f>ET7-ER7</f>
        <v>1.38000000000011</v>
      </c>
      <c r="ET7" s="21">
        <v>2761.27</v>
      </c>
      <c r="EU7" s="21">
        <f>EV7-ET7</f>
        <v>3.98000000000002</v>
      </c>
      <c r="EV7" s="21">
        <v>2765.25</v>
      </c>
      <c r="EW7" s="21">
        <f>EX7-EV7</f>
        <v>2.36000000000013</v>
      </c>
      <c r="EX7" s="21">
        <v>2767.61</v>
      </c>
      <c r="EY7" s="21">
        <f>EZ7-EX7</f>
        <v>1.57999999999993</v>
      </c>
      <c r="EZ7" s="21">
        <v>2769.19</v>
      </c>
      <c r="FA7" s="21">
        <f>FB7-EZ7</f>
        <v>1.19999999999982</v>
      </c>
      <c r="FB7" s="21">
        <v>2770.39</v>
      </c>
      <c r="FC7" s="21">
        <f>FD7-FB7</f>
        <v>2.88000000000011</v>
      </c>
      <c r="FD7" s="21">
        <v>2773.27</v>
      </c>
      <c r="FE7" s="21">
        <f>FF7-FD7</f>
        <v>3.92000000000007</v>
      </c>
      <c r="FF7" s="21">
        <v>2777.19</v>
      </c>
      <c r="FG7" s="21">
        <f>FH7-FF7</f>
        <v>3</v>
      </c>
      <c r="FH7" s="20">
        <v>2780.19</v>
      </c>
      <c r="FI7" s="21">
        <f>FJ7-FH7</f>
        <v>20.0900000000001</v>
      </c>
      <c r="FJ7" s="21">
        <v>2800.28</v>
      </c>
      <c r="FK7" s="20" t="s">
        <v>109</v>
      </c>
      <c r="FL7" s="19">
        <v>1219.67</v>
      </c>
      <c r="FM7" s="19" t="s">
        <v>110</v>
      </c>
      <c r="FN7" s="19">
        <v>556.77</v>
      </c>
      <c r="FO7" s="3">
        <v>30</v>
      </c>
      <c r="FP7" s="3">
        <v>3.2</v>
      </c>
      <c r="FQ7" s="3">
        <v>78989</v>
      </c>
      <c r="FR7" s="19">
        <f>2.3635/(FJ7/FL7)</f>
        <v>1.02942921600697</v>
      </c>
      <c r="FS7" s="19">
        <f>BP7-D7</f>
        <v>967.13</v>
      </c>
      <c r="FT7" s="19">
        <f>FJ7-FB7</f>
        <v>29.8900000000003</v>
      </c>
    </row>
    <row r="8" spans="1:185">
      <c r="A8" s="5" t="s">
        <v>117</v>
      </c>
      <c r="B8" s="5" t="s">
        <v>118</v>
      </c>
      <c r="C8" s="5" t="s">
        <v>104</v>
      </c>
      <c r="D8" s="5">
        <v>4105.48</v>
      </c>
      <c r="E8" s="5">
        <f>F8-D8</f>
        <v>181.21</v>
      </c>
      <c r="F8" s="5">
        <v>4286.69</v>
      </c>
      <c r="G8" s="5">
        <f>H8-F8</f>
        <v>139.09</v>
      </c>
      <c r="H8" s="5">
        <v>4425.78</v>
      </c>
      <c r="I8" s="5">
        <f>J8-H8</f>
        <v>54.8800000000001</v>
      </c>
      <c r="J8" s="5">
        <v>4480.66</v>
      </c>
      <c r="K8" s="5">
        <f>L8-J8</f>
        <v>104.900000000001</v>
      </c>
      <c r="L8" s="5">
        <v>4585.56</v>
      </c>
      <c r="M8" s="5">
        <f>N8-L8</f>
        <v>70.29</v>
      </c>
      <c r="N8" s="5">
        <v>4655.85</v>
      </c>
      <c r="O8" s="5">
        <f>P8-N8</f>
        <v>49.1700000000001</v>
      </c>
      <c r="P8" s="5">
        <v>4705.02</v>
      </c>
      <c r="Q8" s="5">
        <f>R8-P8</f>
        <v>38.2199999999993</v>
      </c>
      <c r="R8" s="5">
        <v>4743.24</v>
      </c>
      <c r="S8" s="5">
        <f>T8-R8</f>
        <v>45.6199999999999</v>
      </c>
      <c r="T8" s="5">
        <v>4788.86</v>
      </c>
      <c r="U8" s="5">
        <f>V8-T8</f>
        <v>27.5900000000001</v>
      </c>
      <c r="V8" s="22">
        <v>4816.45</v>
      </c>
      <c r="W8" s="5">
        <f>X8-V8</f>
        <v>158.22</v>
      </c>
      <c r="X8" s="22">
        <v>4974.67</v>
      </c>
      <c r="Y8" s="5">
        <f>Z8-X8</f>
        <v>32.8999999999996</v>
      </c>
      <c r="Z8" s="5">
        <v>5007.57</v>
      </c>
      <c r="AA8" s="5">
        <f>AB8-Z8</f>
        <v>19.5700000000006</v>
      </c>
      <c r="AB8" s="5">
        <v>5027.14</v>
      </c>
      <c r="AC8" s="5">
        <f>AD8-AB8</f>
        <v>77.6899999999996</v>
      </c>
      <c r="AD8" s="5">
        <v>5104.83</v>
      </c>
      <c r="AE8" s="9">
        <f>AF8-AD8</f>
        <v>27.4499999999998</v>
      </c>
      <c r="AF8" s="9">
        <v>5132.28</v>
      </c>
      <c r="AG8" s="9">
        <f>AH8-AF8</f>
        <v>129.35</v>
      </c>
      <c r="AH8" s="9">
        <v>5261.63</v>
      </c>
      <c r="AI8" s="9">
        <f>AJ8-AH8</f>
        <v>94.04</v>
      </c>
      <c r="AJ8" s="9">
        <v>5355.67</v>
      </c>
      <c r="AK8" s="9">
        <f>AL8-AJ8</f>
        <v>102.42</v>
      </c>
      <c r="AL8" s="9">
        <v>5458.09</v>
      </c>
      <c r="AM8" s="9">
        <f>AN8-AL8</f>
        <v>57.9499999999998</v>
      </c>
      <c r="AN8" s="9">
        <v>5516.04</v>
      </c>
      <c r="AO8" s="9">
        <f>AP8-AN8</f>
        <v>109.75</v>
      </c>
      <c r="AP8" s="9">
        <v>5625.79</v>
      </c>
      <c r="AQ8" s="9">
        <f>AR8-AP8</f>
        <v>115.03</v>
      </c>
      <c r="AR8" s="9">
        <v>5740.82</v>
      </c>
      <c r="AS8" s="9">
        <f>AT8-AR8</f>
        <v>75.2800000000007</v>
      </c>
      <c r="AT8" s="9">
        <v>5816.1</v>
      </c>
      <c r="AU8" s="23">
        <f>AV8-AT8</f>
        <v>77.1399999999994</v>
      </c>
      <c r="AV8" s="23">
        <v>5893.24</v>
      </c>
      <c r="AW8" s="24">
        <f>AX8-AV8</f>
        <v>91.6100000000006</v>
      </c>
      <c r="AX8" s="24">
        <v>5984.85</v>
      </c>
      <c r="AY8" s="24">
        <f>AZ8-AX8</f>
        <v>201.849999999999</v>
      </c>
      <c r="AZ8" s="24">
        <v>6186.7</v>
      </c>
      <c r="BA8" s="24">
        <f>BB8-AZ8</f>
        <v>31.5299999999997</v>
      </c>
      <c r="BB8" s="24">
        <v>6218.23</v>
      </c>
      <c r="BC8" s="24">
        <f>BD8-BB8</f>
        <v>2.65000000000055</v>
      </c>
      <c r="BD8" s="24">
        <v>6220.88</v>
      </c>
      <c r="BE8" s="23">
        <f>BF8-BD8</f>
        <v>127.07</v>
      </c>
      <c r="BF8" s="24">
        <v>6347.95</v>
      </c>
      <c r="BG8" s="24">
        <f>BH8-BF8</f>
        <v>130.78</v>
      </c>
      <c r="BH8" s="24">
        <v>6478.73</v>
      </c>
      <c r="BI8" s="24">
        <f>BJ8-BH8</f>
        <v>12.3600000000006</v>
      </c>
      <c r="BJ8" s="24">
        <v>6491.09</v>
      </c>
      <c r="BK8" s="24">
        <f>BL8-BJ8</f>
        <v>50.7299999999996</v>
      </c>
      <c r="BL8" s="24">
        <v>6541.82</v>
      </c>
      <c r="BM8" s="24">
        <f>BN8-BL8</f>
        <v>205.92</v>
      </c>
      <c r="BN8" s="24">
        <v>6747.74</v>
      </c>
      <c r="BO8" s="24">
        <f>BP8-BN8</f>
        <v>42.6900000000005</v>
      </c>
      <c r="BP8" s="24">
        <v>6790.43</v>
      </c>
      <c r="BQ8" s="24">
        <f>BR8-BP8</f>
        <v>61.9099999999999</v>
      </c>
      <c r="BR8" s="24">
        <v>6852.34</v>
      </c>
      <c r="BS8" s="24">
        <f>BT8-BR8</f>
        <v>21.1099999999997</v>
      </c>
      <c r="BT8" s="24">
        <v>6873.45</v>
      </c>
      <c r="BU8" s="24">
        <f>BV8-BT8</f>
        <v>59.8800000000001</v>
      </c>
      <c r="BV8" s="24">
        <v>6933.33</v>
      </c>
      <c r="BW8" s="24">
        <f>BX8-BV8</f>
        <v>77.5200000000004</v>
      </c>
      <c r="BX8" s="24">
        <v>7010.85</v>
      </c>
      <c r="BY8" s="24">
        <f>BZ8-BX8</f>
        <v>66.8599999999997</v>
      </c>
      <c r="BZ8" s="24">
        <v>7077.71</v>
      </c>
      <c r="CA8" s="24">
        <f>CB8-BZ8</f>
        <v>224.3</v>
      </c>
      <c r="CB8" s="24">
        <v>7302.01</v>
      </c>
      <c r="CC8" s="24">
        <f>CD8-CB8</f>
        <v>113.7</v>
      </c>
      <c r="CD8" s="24">
        <v>7415.71</v>
      </c>
      <c r="CE8" s="24">
        <f>CF8-CD8</f>
        <v>82</v>
      </c>
      <c r="CF8" s="24">
        <v>7497.71</v>
      </c>
      <c r="CG8" s="24">
        <f>CH8-CF8</f>
        <v>140.01</v>
      </c>
      <c r="CH8" s="24">
        <v>7637.72</v>
      </c>
      <c r="CI8" s="24">
        <f>CJ8-CH8</f>
        <v>176.7</v>
      </c>
      <c r="CJ8" s="24">
        <v>7814.42</v>
      </c>
      <c r="CK8" s="24">
        <f>CL8-CJ8</f>
        <v>82.8199999999997</v>
      </c>
      <c r="CL8" s="24">
        <v>7897.24</v>
      </c>
      <c r="CM8" s="24">
        <f>CN8-CL8</f>
        <v>184.17</v>
      </c>
      <c r="CN8" s="24">
        <v>8081.41</v>
      </c>
      <c r="CO8" s="24">
        <f>CP8-CN8</f>
        <v>119.860000000001</v>
      </c>
      <c r="CP8" s="24">
        <v>8201.27</v>
      </c>
      <c r="CQ8" s="24">
        <f>CR8-CP8</f>
        <v>123.939999999999</v>
      </c>
      <c r="CR8" s="24">
        <v>8325.21</v>
      </c>
      <c r="CS8" s="24">
        <f>CT8-CR8</f>
        <v>198.700000000001</v>
      </c>
      <c r="CT8" s="24">
        <v>8523.91</v>
      </c>
      <c r="CU8" s="24">
        <f>CV8-CT8</f>
        <v>74.9600000000009</v>
      </c>
      <c r="CV8" s="24">
        <v>8598.87</v>
      </c>
      <c r="CW8" s="23">
        <f>CX8-CV8</f>
        <v>48.8199999999997</v>
      </c>
      <c r="CX8" s="24">
        <v>8647.69</v>
      </c>
      <c r="CY8" s="24">
        <f>CZ8-CX8</f>
        <v>275.1</v>
      </c>
      <c r="CZ8" s="24">
        <v>8922.79</v>
      </c>
      <c r="DA8" s="24">
        <f>DB8-CZ8</f>
        <v>88.5</v>
      </c>
      <c r="DB8" s="24">
        <v>9011.29</v>
      </c>
      <c r="DC8" s="24">
        <f>DD8-DB8</f>
        <v>58.8799999999992</v>
      </c>
      <c r="DD8" s="24">
        <v>9070.17</v>
      </c>
      <c r="DE8" s="24">
        <f>DF8-DD8</f>
        <v>150.440000000001</v>
      </c>
      <c r="DF8" s="24">
        <v>9220.61</v>
      </c>
      <c r="DG8" s="24">
        <f>DH8-DF8</f>
        <v>64.9099999999999</v>
      </c>
      <c r="DH8" s="24">
        <v>9285.52</v>
      </c>
      <c r="DI8" s="24">
        <f>DJ8-DH8</f>
        <v>76.6000000000004</v>
      </c>
      <c r="DJ8" s="24">
        <v>9362.12</v>
      </c>
      <c r="DK8" s="24">
        <f>DL8-DJ8</f>
        <v>25.4499999999989</v>
      </c>
      <c r="DL8" s="24">
        <v>9387.57</v>
      </c>
      <c r="DM8" s="24">
        <f>DN8-DL8</f>
        <v>164.51</v>
      </c>
      <c r="DN8" s="24">
        <v>9552.08</v>
      </c>
      <c r="DO8" s="23">
        <f>DP8-DN8</f>
        <v>162.549999999999</v>
      </c>
      <c r="DP8" s="24">
        <v>9714.63</v>
      </c>
      <c r="DQ8" s="24">
        <f>DR8-DP8</f>
        <v>86.1800000000003</v>
      </c>
      <c r="DR8" s="24">
        <v>9800.81</v>
      </c>
      <c r="DS8" s="24">
        <f>DT8-DR8</f>
        <v>139.27</v>
      </c>
      <c r="DT8" s="24">
        <v>9940.08</v>
      </c>
      <c r="DU8" s="24">
        <f>DV8-DT8</f>
        <v>33.9099999999999</v>
      </c>
      <c r="DV8" s="24">
        <v>9973.99</v>
      </c>
      <c r="DW8" s="24">
        <f>DX8-DV8</f>
        <v>53.0200000000004</v>
      </c>
      <c r="DX8" s="24">
        <v>10027.01</v>
      </c>
      <c r="DY8" s="24">
        <f>DZ8-DX8</f>
        <v>24.0399999999991</v>
      </c>
      <c r="DZ8" s="24">
        <v>10051.05</v>
      </c>
      <c r="EA8" s="24">
        <f>EB8-DZ8</f>
        <v>139.300000000001</v>
      </c>
      <c r="EB8" s="24">
        <v>10190.35</v>
      </c>
      <c r="EC8" s="24">
        <f>ED8-EB8</f>
        <v>70.4599999999991</v>
      </c>
      <c r="ED8" s="24">
        <v>10260.81</v>
      </c>
      <c r="EE8" s="24">
        <f>EF8-ED8</f>
        <v>163.880000000001</v>
      </c>
      <c r="EF8" s="24">
        <v>10424.69</v>
      </c>
      <c r="EG8" s="24">
        <f>EH8-EF8</f>
        <v>117.939999999999</v>
      </c>
      <c r="EH8" s="24">
        <v>10542.63</v>
      </c>
      <c r="EI8" s="24">
        <f>EJ8-EH8</f>
        <v>64.4900000000016</v>
      </c>
      <c r="EJ8" s="24">
        <v>10607.12</v>
      </c>
      <c r="EK8" s="24">
        <f>EL8-EJ8</f>
        <v>204.75</v>
      </c>
      <c r="EL8" s="24">
        <v>10811.87</v>
      </c>
      <c r="EM8" s="24">
        <f>EN8-EL8</f>
        <v>31.4099999999999</v>
      </c>
      <c r="EN8" s="24">
        <v>10843.28</v>
      </c>
      <c r="EO8" s="24">
        <f>EP8-EN8</f>
        <v>133.42</v>
      </c>
      <c r="EP8" s="24">
        <v>10976.7</v>
      </c>
      <c r="EQ8" s="24">
        <f>ER8-EP8</f>
        <v>322.24</v>
      </c>
      <c r="ER8" s="24">
        <v>11298.94</v>
      </c>
      <c r="ES8" s="24">
        <f>ET8-ER8</f>
        <v>181.699999999999</v>
      </c>
      <c r="ET8" s="24">
        <v>11480.64</v>
      </c>
      <c r="EU8" s="24">
        <f>EV8-ET8</f>
        <v>229.08</v>
      </c>
      <c r="EV8" s="24">
        <v>11709.72</v>
      </c>
      <c r="EW8" s="24">
        <f>EX8-EV8</f>
        <v>323.470000000001</v>
      </c>
      <c r="EX8" s="24">
        <v>12033.19</v>
      </c>
      <c r="EY8" s="24">
        <f>EZ8-EX8</f>
        <v>64.7199999999993</v>
      </c>
      <c r="EZ8" s="24">
        <v>12097.91</v>
      </c>
      <c r="FA8" s="24">
        <f>FB8-EZ8</f>
        <v>15.7900000000009</v>
      </c>
      <c r="FB8" s="24">
        <v>12113.7</v>
      </c>
      <c r="FC8" s="24">
        <f>FD8-FB8</f>
        <v>44.8499999999985</v>
      </c>
      <c r="FD8" s="24">
        <v>12158.55</v>
      </c>
      <c r="FE8" s="24">
        <f>FF8-FD8</f>
        <v>407.950000000001</v>
      </c>
      <c r="FF8" s="24">
        <v>12566.5</v>
      </c>
      <c r="FG8" s="24">
        <f>FH8-FF8</f>
        <v>102.91</v>
      </c>
      <c r="FH8" s="23">
        <v>12669.41</v>
      </c>
      <c r="FI8" s="24">
        <f>FJ8-FH8</f>
        <v>99.2600000000002</v>
      </c>
      <c r="FJ8" s="24">
        <v>12768.67</v>
      </c>
      <c r="FK8" s="23" t="s">
        <v>119</v>
      </c>
      <c r="FL8" s="9">
        <v>3168.42</v>
      </c>
      <c r="FM8" s="9" t="s">
        <v>120</v>
      </c>
      <c r="FN8" s="9">
        <v>1267.77</v>
      </c>
      <c r="FO8" s="5">
        <v>400</v>
      </c>
      <c r="FP8" s="5">
        <v>1.2</v>
      </c>
      <c r="FQ8" s="5">
        <v>186759</v>
      </c>
      <c r="FR8" s="9">
        <f>2.3635/(FJ8/FL8)</f>
        <v>0.586479302072965</v>
      </c>
      <c r="FS8" s="9">
        <f>BP8-D8</f>
        <v>2684.95</v>
      </c>
      <c r="FT8" s="9">
        <f>FJ8-FB8</f>
        <v>654.969999999999</v>
      </c>
    </row>
    <row r="9" spans="1:185">
      <c r="A9" s="8" t="s">
        <v>121</v>
      </c>
      <c r="B9" s="8" t="s">
        <v>122</v>
      </c>
      <c r="C9" s="8" t="s">
        <v>108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25"/>
      <c r="W9" s="8"/>
      <c r="X9" s="25"/>
      <c r="Y9" s="8"/>
      <c r="Z9" s="8"/>
      <c r="AA9" s="8"/>
      <c r="AB9" s="8"/>
      <c r="AC9" s="8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>
        <v>2239.6</v>
      </c>
      <c r="AS9" s="26">
        <f>AT9-AR9</f>
        <v>0</v>
      </c>
      <c r="AT9" s="26">
        <v>2239.6</v>
      </c>
      <c r="AU9" s="27">
        <f>AV9-AT9</f>
        <v>17.6399999999999</v>
      </c>
      <c r="AV9" s="27">
        <v>2257.24</v>
      </c>
      <c r="AW9" s="28">
        <f>AX9-AV9</f>
        <v>66.0900000000001</v>
      </c>
      <c r="AX9" s="28">
        <v>2323.33</v>
      </c>
      <c r="AY9" s="28">
        <f>AZ9-AX9</f>
        <v>15.3099999999999</v>
      </c>
      <c r="AZ9" s="28">
        <v>2338.64</v>
      </c>
      <c r="BA9" s="28">
        <f>BB9-AZ9</f>
        <v>34.4100000000003</v>
      </c>
      <c r="BB9" s="28">
        <v>2373.05</v>
      </c>
      <c r="BC9" s="28">
        <f>BD9-BB9</f>
        <v>53.6499999999996</v>
      </c>
      <c r="BD9" s="28">
        <v>2426.7</v>
      </c>
      <c r="BE9" s="27">
        <f>BF9-BD9</f>
        <v>30.3900000000003</v>
      </c>
      <c r="BF9" s="28">
        <v>2457.09</v>
      </c>
      <c r="BG9" s="28">
        <f>BH9-BF9</f>
        <v>45.9099999999999</v>
      </c>
      <c r="BH9" s="28">
        <v>2503</v>
      </c>
      <c r="BI9" s="28">
        <f>BJ9-BH9</f>
        <v>21.23</v>
      </c>
      <c r="BJ9" s="28">
        <v>2524.23</v>
      </c>
      <c r="BK9" s="28">
        <f>BL9-BJ9</f>
        <v>48.6999999999998</v>
      </c>
      <c r="BL9" s="28">
        <v>2572.93</v>
      </c>
      <c r="BM9" s="28">
        <f>BN9-BL9</f>
        <v>13.2600000000002</v>
      </c>
      <c r="BN9" s="28">
        <v>2586.19</v>
      </c>
      <c r="BO9" s="28">
        <f>BP9-BN9</f>
        <v>48.54</v>
      </c>
      <c r="BP9" s="28">
        <v>2634.73</v>
      </c>
      <c r="BQ9" s="28">
        <f>BR9-BP9</f>
        <v>12.6300000000001</v>
      </c>
      <c r="BR9" s="28">
        <v>2647.36</v>
      </c>
      <c r="BS9" s="28">
        <f>BT9-BR9</f>
        <v>17.8399999999997</v>
      </c>
      <c r="BT9" s="28">
        <v>2665.2</v>
      </c>
      <c r="BU9" s="28">
        <f>BV9-BT9</f>
        <v>22.5700000000002</v>
      </c>
      <c r="BV9" s="28">
        <v>2687.77</v>
      </c>
      <c r="BW9" s="28">
        <f>BX9-BV9</f>
        <v>16.1199999999999</v>
      </c>
      <c r="BX9" s="28">
        <v>2703.89</v>
      </c>
      <c r="BY9" s="28">
        <f>BZ9-BX9</f>
        <v>8.09000000000015</v>
      </c>
      <c r="BZ9" s="28">
        <v>2711.98</v>
      </c>
      <c r="CA9" s="28">
        <f>CB9-BZ9</f>
        <v>19.6500000000001</v>
      </c>
      <c r="CB9" s="28">
        <v>2731.63</v>
      </c>
      <c r="CC9" s="28">
        <f>CD9-CB9</f>
        <v>15.1700000000001</v>
      </c>
      <c r="CD9" s="28">
        <v>2746.8</v>
      </c>
      <c r="CE9" s="28">
        <f>CF9-CD9</f>
        <v>23.1699999999996</v>
      </c>
      <c r="CF9" s="28">
        <v>2769.97</v>
      </c>
      <c r="CG9" s="28">
        <f>CH9-CF9</f>
        <v>20.6500000000001</v>
      </c>
      <c r="CH9" s="28">
        <v>2790.62</v>
      </c>
      <c r="CI9" s="28">
        <f>CJ9-CH9</f>
        <v>20.04</v>
      </c>
      <c r="CJ9" s="28">
        <v>2810.66</v>
      </c>
      <c r="CK9" s="28">
        <f>CL9-CJ9</f>
        <v>20.4900000000002</v>
      </c>
      <c r="CL9" s="28">
        <v>2831.15</v>
      </c>
      <c r="CM9" s="28">
        <f>CN9-CL9</f>
        <v>19.3199999999997</v>
      </c>
      <c r="CN9" s="28">
        <v>2850.47</v>
      </c>
      <c r="CO9" s="28">
        <f>CP9-CN9</f>
        <v>16.5300000000002</v>
      </c>
      <c r="CP9" s="28">
        <v>2867</v>
      </c>
      <c r="CQ9" s="28">
        <f>CR9-CP9</f>
        <v>45.5999999999999</v>
      </c>
      <c r="CR9" s="28">
        <v>2912.6</v>
      </c>
      <c r="CS9" s="28">
        <f>CT9-CR9</f>
        <v>74.2600000000002</v>
      </c>
      <c r="CT9" s="28">
        <v>2986.86</v>
      </c>
      <c r="CU9" s="28">
        <f>CV9-CT9</f>
        <v>37.3699999999999</v>
      </c>
      <c r="CV9" s="28">
        <v>3024.23</v>
      </c>
      <c r="CW9" s="27">
        <f>CX9-CV9</f>
        <v>29.96</v>
      </c>
      <c r="CX9" s="28">
        <v>3054.19</v>
      </c>
      <c r="CY9" s="28">
        <f>CZ9-CX9</f>
        <v>33.0499999999997</v>
      </c>
      <c r="CZ9" s="28">
        <v>3087.24</v>
      </c>
      <c r="DA9" s="28">
        <f>DB9-CZ9</f>
        <v>14.1400000000003</v>
      </c>
      <c r="DB9" s="28">
        <v>3101.38</v>
      </c>
      <c r="DC9" s="28">
        <f>DD9-DB9</f>
        <v>18.77</v>
      </c>
      <c r="DD9" s="28">
        <v>3120.15</v>
      </c>
      <c r="DE9" s="28">
        <f>DF9-DD9</f>
        <v>17.5599999999999</v>
      </c>
      <c r="DF9" s="28">
        <v>3137.71</v>
      </c>
      <c r="DG9" s="28">
        <f>DH9-DF9</f>
        <v>10.7599999999998</v>
      </c>
      <c r="DH9" s="28">
        <v>3148.47</v>
      </c>
      <c r="DI9" s="28">
        <f>DJ9-DH9</f>
        <v>18.1200000000003</v>
      </c>
      <c r="DJ9" s="28">
        <v>3166.59</v>
      </c>
      <c r="DK9" s="28">
        <f>DL9-DJ9</f>
        <v>18.4099999999999</v>
      </c>
      <c r="DL9" s="28">
        <v>3185</v>
      </c>
      <c r="DM9" s="28">
        <f>DN9-DL9</f>
        <v>20.1500000000001</v>
      </c>
      <c r="DN9" s="28">
        <v>3205.15</v>
      </c>
      <c r="DO9" s="27">
        <f>DP9-DN9</f>
        <v>24.3600000000001</v>
      </c>
      <c r="DP9" s="28">
        <v>3229.51</v>
      </c>
      <c r="DQ9" s="28">
        <f>DR9-DP9</f>
        <v>24.8899999999999</v>
      </c>
      <c r="DR9" s="28">
        <v>3254.4</v>
      </c>
      <c r="DS9" s="28">
        <f>DT9-DR9</f>
        <v>29.5</v>
      </c>
      <c r="DT9" s="28">
        <v>3283.9</v>
      </c>
      <c r="DU9" s="28">
        <f>DV9-DT9</f>
        <v>18.8899999999999</v>
      </c>
      <c r="DV9" s="28">
        <v>3302.79</v>
      </c>
      <c r="DW9" s="28">
        <f>DX9-DV9</f>
        <v>33.54</v>
      </c>
      <c r="DX9" s="28">
        <v>3336.33</v>
      </c>
      <c r="DY9" s="28">
        <f>DZ9-DX9</f>
        <v>29.3299999999999</v>
      </c>
      <c r="DZ9" s="28">
        <v>3365.66</v>
      </c>
      <c r="EA9" s="28">
        <f>EB9-DZ9</f>
        <v>21.3400000000001</v>
      </c>
      <c r="EB9" s="28">
        <v>3387</v>
      </c>
      <c r="EC9" s="28">
        <f>ED9-EB9</f>
        <v>27.6100000000001</v>
      </c>
      <c r="ED9" s="28">
        <v>3414.61</v>
      </c>
      <c r="EE9" s="28">
        <f>EF9-ED9</f>
        <v>29.8699999999999</v>
      </c>
      <c r="EF9" s="28">
        <v>3444.48</v>
      </c>
      <c r="EG9" s="28">
        <f>EH9-EF9</f>
        <v>16.3200000000002</v>
      </c>
      <c r="EH9" s="28">
        <v>3460.8</v>
      </c>
      <c r="EI9" s="28">
        <f>EJ9-EH9</f>
        <v>18.8899999999999</v>
      </c>
      <c r="EJ9" s="28">
        <v>3479.69</v>
      </c>
      <c r="EK9" s="28">
        <f>EL9-EJ9</f>
        <v>21.2199999999998</v>
      </c>
      <c r="EL9" s="28">
        <v>3500.91</v>
      </c>
      <c r="EM9" s="28">
        <f>EN9-EL9</f>
        <v>15.6700000000001</v>
      </c>
      <c r="EN9" s="28">
        <v>3516.58</v>
      </c>
      <c r="EO9" s="28">
        <f>EP9-EN9</f>
        <v>77.1900000000001</v>
      </c>
      <c r="EP9" s="28">
        <v>3593.77</v>
      </c>
      <c r="EQ9" s="28">
        <f>ER9-EP9</f>
        <v>29.96</v>
      </c>
      <c r="ER9" s="28">
        <v>3623.73</v>
      </c>
      <c r="ES9" s="28">
        <f>ET9-ER9</f>
        <v>27.4400000000001</v>
      </c>
      <c r="ET9" s="28">
        <v>3651.17</v>
      </c>
      <c r="EU9" s="28">
        <f>EV9-ET9</f>
        <v>40.1399999999999</v>
      </c>
      <c r="EV9" s="28">
        <v>3691.31</v>
      </c>
      <c r="EW9" s="28">
        <f>EX9-EV9</f>
        <v>18.6199999999999</v>
      </c>
      <c r="EX9" s="28">
        <v>3709.93</v>
      </c>
      <c r="EY9" s="28">
        <f>EZ9-EX9</f>
        <v>11.9500000000003</v>
      </c>
      <c r="EZ9" s="28">
        <v>3721.88</v>
      </c>
      <c r="FA9" s="28">
        <f>FB9-EZ9</f>
        <v>40.1700000000001</v>
      </c>
      <c r="FB9" s="28">
        <v>3762.05</v>
      </c>
      <c r="FC9" s="28">
        <f>FD9-FB9</f>
        <v>20.0799999999999</v>
      </c>
      <c r="FD9" s="28">
        <v>3782.13</v>
      </c>
      <c r="FE9" s="28">
        <f>FF9-FD9</f>
        <v>55.9699999999998</v>
      </c>
      <c r="FF9" s="28">
        <v>3838.1</v>
      </c>
      <c r="FG9" s="28">
        <f>FH9-FF9</f>
        <v>15.1700000000001</v>
      </c>
      <c r="FH9" s="27">
        <v>3853.27</v>
      </c>
      <c r="FI9" s="28">
        <f>FJ9-FH9</f>
        <v>15.8699999999999</v>
      </c>
      <c r="FJ9" s="28">
        <v>3869.14</v>
      </c>
      <c r="FK9" s="27" t="s">
        <v>123</v>
      </c>
      <c r="FL9" s="26">
        <v>915.62</v>
      </c>
      <c r="FM9" s="26" t="s">
        <v>112</v>
      </c>
      <c r="FN9" s="26">
        <v>490.62</v>
      </c>
      <c r="FO9" s="8"/>
      <c r="FP9" s="8"/>
      <c r="FQ9" s="8"/>
      <c r="FR9" s="26">
        <f>2.3635/(FJ9/FL9)</f>
        <v>0.559314956295197</v>
      </c>
      <c r="FS9" s="26">
        <f>BP9-D9</f>
        <v>2634.73</v>
      </c>
      <c r="FT9" s="26">
        <f>FJ9-FB9</f>
        <v>107.09</v>
      </c>
    </row>
    <row r="10" spans="1:185">
      <c r="A10" s="5" t="s">
        <v>124</v>
      </c>
      <c r="B10" s="5" t="s">
        <v>125</v>
      </c>
      <c r="C10" s="5" t="s">
        <v>104</v>
      </c>
      <c r="D10" s="5">
        <v>2714.1</v>
      </c>
      <c r="E10" s="5">
        <f>F10-D10</f>
        <v>123.29</v>
      </c>
      <c r="F10" s="5">
        <v>2837.39</v>
      </c>
      <c r="G10" s="5">
        <f>H10-F10</f>
        <v>95.8499999999999</v>
      </c>
      <c r="H10" s="5">
        <v>2933.24</v>
      </c>
      <c r="I10" s="5">
        <f>J10-H10</f>
        <v>92.46</v>
      </c>
      <c r="J10" s="5">
        <v>3025.7</v>
      </c>
      <c r="K10" s="5">
        <f>L10-J10</f>
        <v>90.4100000000003</v>
      </c>
      <c r="L10" s="5">
        <v>3116.11</v>
      </c>
      <c r="M10" s="5">
        <f>N10-L10</f>
        <v>103.54</v>
      </c>
      <c r="N10" s="5">
        <v>3219.65</v>
      </c>
      <c r="O10" s="5">
        <f>P10-N10</f>
        <v>75.6599999999999</v>
      </c>
      <c r="P10" s="5">
        <v>3295.31</v>
      </c>
      <c r="Q10" s="5">
        <f>R10-P10</f>
        <v>88.98</v>
      </c>
      <c r="R10" s="5">
        <v>3384.29</v>
      </c>
      <c r="S10" s="5">
        <f>T10-R10</f>
        <v>102.46</v>
      </c>
      <c r="T10" s="5">
        <v>3486.75</v>
      </c>
      <c r="U10" s="5">
        <f>V10-T10</f>
        <v>69.23</v>
      </c>
      <c r="V10" s="22">
        <v>3555.98</v>
      </c>
      <c r="W10" s="5">
        <f>X10-V10</f>
        <v>133.46</v>
      </c>
      <c r="X10" s="22">
        <v>3689.44</v>
      </c>
      <c r="Y10" s="5">
        <f>Z10-X10</f>
        <v>10.5999999999999</v>
      </c>
      <c r="Z10" s="5">
        <v>3700.04</v>
      </c>
      <c r="AA10" s="5">
        <f>AB10-Z10</f>
        <v>145.58</v>
      </c>
      <c r="AB10" s="5">
        <v>3845.62</v>
      </c>
      <c r="AC10" s="5">
        <f>AD10-AB10</f>
        <v>64.1800000000003</v>
      </c>
      <c r="AD10" s="9">
        <v>3909.8</v>
      </c>
      <c r="AE10" s="9">
        <f>AF10-AD10</f>
        <v>98.8399999999997</v>
      </c>
      <c r="AF10" s="9">
        <v>4008.64</v>
      </c>
      <c r="AG10" s="9">
        <f>AH10-AF10</f>
        <v>157.920000000001</v>
      </c>
      <c r="AH10" s="9">
        <v>4166.56</v>
      </c>
      <c r="AI10" s="9">
        <f>AJ10-AH10</f>
        <v>103.339999999999</v>
      </c>
      <c r="AJ10" s="9">
        <v>4269.9</v>
      </c>
      <c r="AK10" s="9">
        <f>AL10-AJ10</f>
        <v>66.25</v>
      </c>
      <c r="AL10" s="9">
        <v>4336.15</v>
      </c>
      <c r="AM10" s="9">
        <f>AN10-AL10</f>
        <v>138.700000000001</v>
      </c>
      <c r="AN10" s="9">
        <v>4474.85</v>
      </c>
      <c r="AO10" s="9">
        <f>AP10-AN10</f>
        <v>78.4499999999998</v>
      </c>
      <c r="AP10" s="9">
        <v>4553.3</v>
      </c>
      <c r="AQ10" s="9">
        <f>AR10-AP10</f>
        <v>56.7699999999995</v>
      </c>
      <c r="AR10" s="9">
        <v>4610.07</v>
      </c>
      <c r="AS10" s="9">
        <f>AT10-AR10</f>
        <v>32.3699999999999</v>
      </c>
      <c r="AT10" s="9">
        <v>4642.44</v>
      </c>
      <c r="AU10" s="23">
        <f>AV10-AT10</f>
        <v>77.6300000000001</v>
      </c>
      <c r="AV10" s="23">
        <v>4720.07</v>
      </c>
      <c r="AW10" s="24">
        <f>AX10-AV10</f>
        <v>121.33</v>
      </c>
      <c r="AX10" s="24">
        <v>4841.4</v>
      </c>
      <c r="AY10" s="24">
        <f>AZ10-AX10</f>
        <v>61.2400000000007</v>
      </c>
      <c r="AZ10" s="24">
        <v>4902.64</v>
      </c>
      <c r="BA10" s="24">
        <f>BB10-AZ10</f>
        <v>64.3099999999995</v>
      </c>
      <c r="BB10" s="24">
        <v>4966.95</v>
      </c>
      <c r="BC10" s="24">
        <f>BD10-BB10</f>
        <v>87.1000000000004</v>
      </c>
      <c r="BD10" s="24">
        <v>5054.05</v>
      </c>
      <c r="BE10" s="23">
        <f>BF10-BD10</f>
        <v>154.29</v>
      </c>
      <c r="BF10" s="24">
        <v>5208.34</v>
      </c>
      <c r="BG10" s="24">
        <f>BH10-BF10</f>
        <v>181.45</v>
      </c>
      <c r="BH10" s="24">
        <v>5389.79</v>
      </c>
      <c r="BI10" s="24">
        <f>BJ10-BH10</f>
        <v>99</v>
      </c>
      <c r="BJ10" s="24">
        <v>5488.79</v>
      </c>
      <c r="BK10" s="24">
        <f>BL10-BJ10</f>
        <v>53.9499999999998</v>
      </c>
      <c r="BL10" s="24">
        <v>5542.74</v>
      </c>
      <c r="BM10" s="24">
        <f>BN10-BL10</f>
        <v>72.0300000000007</v>
      </c>
      <c r="BN10" s="24">
        <v>5614.77</v>
      </c>
      <c r="BO10" s="24">
        <f>BP10-BN10</f>
        <v>122.11</v>
      </c>
      <c r="BP10" s="24">
        <v>5736.88</v>
      </c>
      <c r="BQ10" s="24">
        <f>BR10-BP10</f>
        <v>22.0799999999999</v>
      </c>
      <c r="BR10" s="24">
        <v>5758.96</v>
      </c>
      <c r="BS10" s="24">
        <f>BT10-BR10</f>
        <v>108.57</v>
      </c>
      <c r="BT10" s="24">
        <v>5867.53</v>
      </c>
      <c r="BU10" s="24">
        <f>BV10-BT10</f>
        <v>81.8900000000003</v>
      </c>
      <c r="BV10" s="24">
        <v>5949.42</v>
      </c>
      <c r="BW10" s="24">
        <f>BX10-BV10</f>
        <v>63.9799999999996</v>
      </c>
      <c r="BX10" s="24">
        <v>6013.4</v>
      </c>
      <c r="BY10" s="24">
        <f>BZ10-BX10</f>
        <v>64.9900000000007</v>
      </c>
      <c r="BZ10" s="24">
        <v>6078.39</v>
      </c>
      <c r="CA10" s="24">
        <f>CB10-BZ10</f>
        <v>86.1399999999994</v>
      </c>
      <c r="CB10" s="24">
        <v>6164.53</v>
      </c>
      <c r="CC10" s="24">
        <f>CD10-CB10</f>
        <v>29.3400000000001</v>
      </c>
      <c r="CD10" s="24">
        <v>6193.87</v>
      </c>
      <c r="CE10" s="24">
        <f>CF10-CD10</f>
        <v>82.7200000000003</v>
      </c>
      <c r="CF10" s="24">
        <v>6276.59</v>
      </c>
      <c r="CG10" s="24">
        <f>CH10-CF10</f>
        <v>160.44</v>
      </c>
      <c r="CH10" s="24">
        <v>6437.03</v>
      </c>
      <c r="CI10" s="24">
        <f>CJ10-CH10</f>
        <v>40.8900000000003</v>
      </c>
      <c r="CJ10" s="24">
        <v>6477.92</v>
      </c>
      <c r="CK10" s="24">
        <f>CL10-CJ10</f>
        <v>102.59</v>
      </c>
      <c r="CL10" s="24">
        <v>6580.51</v>
      </c>
      <c r="CM10" s="24">
        <f>CN10-CL10</f>
        <v>95.1399999999994</v>
      </c>
      <c r="CN10" s="24">
        <v>6675.65</v>
      </c>
      <c r="CO10" s="24">
        <f>CP10-CN10</f>
        <v>149.110000000001</v>
      </c>
      <c r="CP10" s="24">
        <v>6824.76</v>
      </c>
      <c r="CQ10" s="24">
        <f>CR10-CP10</f>
        <v>76.1799999999994</v>
      </c>
      <c r="CR10" s="24">
        <v>6900.94</v>
      </c>
      <c r="CS10" s="24">
        <f>CT10-CR10</f>
        <v>144.77</v>
      </c>
      <c r="CT10" s="24">
        <v>7045.71</v>
      </c>
      <c r="CU10" s="24">
        <f>CV10-CT10</f>
        <v>135.99</v>
      </c>
      <c r="CV10" s="24">
        <v>7181.7</v>
      </c>
      <c r="CW10" s="23">
        <f>CX10-CV10</f>
        <v>80.0600000000004</v>
      </c>
      <c r="CX10" s="24">
        <v>7261.76</v>
      </c>
      <c r="CY10" s="24">
        <f>CZ10-CX10</f>
        <v>137.86</v>
      </c>
      <c r="CZ10" s="24">
        <v>7399.62</v>
      </c>
      <c r="DA10" s="24">
        <f>DB10-CZ10</f>
        <v>22.5600000000004</v>
      </c>
      <c r="DB10" s="24">
        <v>7422.18</v>
      </c>
      <c r="DC10" s="24">
        <f>DD10-DB10</f>
        <v>88.3299999999999</v>
      </c>
      <c r="DD10" s="24">
        <v>7510.51</v>
      </c>
      <c r="DE10" s="24">
        <f>DF10-DD10</f>
        <v>133.13</v>
      </c>
      <c r="DF10" s="24">
        <v>7643.64</v>
      </c>
      <c r="DG10" s="24">
        <f>DH10-DF10</f>
        <v>64.6899999999996</v>
      </c>
      <c r="DH10" s="24">
        <v>7708.33</v>
      </c>
      <c r="DI10" s="24">
        <f>DJ10-DH10</f>
        <v>63.2200000000003</v>
      </c>
      <c r="DJ10" s="24">
        <v>7771.55</v>
      </c>
      <c r="DK10" s="24">
        <f>DL10-DJ10</f>
        <v>150.59</v>
      </c>
      <c r="DL10" s="24">
        <v>7922.14</v>
      </c>
      <c r="DM10" s="24">
        <f>DN10-DL10</f>
        <v>84.6300000000001</v>
      </c>
      <c r="DN10" s="24">
        <v>8006.77</v>
      </c>
      <c r="DO10" s="23">
        <f>DP10-DN10</f>
        <v>102.36</v>
      </c>
      <c r="DP10" s="24">
        <v>8109.13</v>
      </c>
      <c r="DQ10" s="24">
        <f>DR10-DP10</f>
        <v>26.6899999999996</v>
      </c>
      <c r="DR10" s="24">
        <v>8135.82</v>
      </c>
      <c r="DS10" s="24">
        <f>DT10-DR10</f>
        <v>115.76</v>
      </c>
      <c r="DT10" s="24">
        <v>8251.58</v>
      </c>
      <c r="DU10" s="24">
        <f>DV10-DT10</f>
        <v>71.8099999999995</v>
      </c>
      <c r="DV10" s="24">
        <v>8323.39</v>
      </c>
      <c r="DW10" s="24">
        <f>DX10-DV10</f>
        <v>-46.9099999999999</v>
      </c>
      <c r="DX10" s="24">
        <v>8276.48</v>
      </c>
      <c r="DY10" s="24">
        <f>DZ10-DX10</f>
        <v>119</v>
      </c>
      <c r="DZ10" s="24">
        <v>8395.48</v>
      </c>
      <c r="EA10" s="24">
        <f>EB10-DZ10</f>
        <v>136.75</v>
      </c>
      <c r="EB10" s="24">
        <v>8532.23</v>
      </c>
      <c r="EC10" s="24">
        <f>ED10-EB10</f>
        <v>109.560000000001</v>
      </c>
      <c r="ED10" s="24">
        <v>8641.79</v>
      </c>
      <c r="EE10" s="24">
        <f>EF10-ED10</f>
        <v>53.1899999999987</v>
      </c>
      <c r="EF10" s="24">
        <v>8694.98</v>
      </c>
      <c r="EG10" s="24">
        <f>EH10-EF10</f>
        <v>69.5</v>
      </c>
      <c r="EH10" s="24">
        <v>8764.48</v>
      </c>
      <c r="EI10" s="24">
        <f>EJ10-EH10</f>
        <v>37.1499999999996</v>
      </c>
      <c r="EJ10" s="24">
        <v>8801.63</v>
      </c>
      <c r="EK10" s="24">
        <f>EL10-EJ10</f>
        <v>188.300000000001</v>
      </c>
      <c r="EL10" s="24">
        <v>8989.93</v>
      </c>
      <c r="EM10" s="24">
        <f>EN10-EL10</f>
        <v>139.709999999999</v>
      </c>
      <c r="EN10" s="24">
        <v>9129.64</v>
      </c>
      <c r="EO10" s="24">
        <f>EP10-EN10</f>
        <v>78.25</v>
      </c>
      <c r="EP10" s="24">
        <v>9207.89</v>
      </c>
      <c r="EQ10" s="24">
        <f>ER10-EP10</f>
        <v>54.5799999999999</v>
      </c>
      <c r="ER10" s="24">
        <v>9262.47</v>
      </c>
      <c r="ES10" s="24">
        <f>ET10-ER10</f>
        <v>137.59</v>
      </c>
      <c r="ET10" s="24">
        <v>9400.06</v>
      </c>
      <c r="EU10" s="24">
        <f>EV10-ET10</f>
        <v>-31.1899999999987</v>
      </c>
      <c r="EV10" s="24">
        <v>9368.87</v>
      </c>
      <c r="EW10" s="24">
        <f>EX10-EV10</f>
        <v>91.1899999999987</v>
      </c>
      <c r="EX10" s="24">
        <v>9460.06</v>
      </c>
      <c r="EY10" s="24">
        <f>EZ10-EX10</f>
        <v>75.5500000000011</v>
      </c>
      <c r="EZ10" s="24">
        <v>9535.61</v>
      </c>
      <c r="FA10" s="24">
        <f>FB10-EZ10</f>
        <v>37.9200000000001</v>
      </c>
      <c r="FB10" s="24">
        <v>9573.53</v>
      </c>
      <c r="FC10" s="24">
        <f>FD10-FB10</f>
        <v>104.33</v>
      </c>
      <c r="FD10" s="24">
        <v>9677.86</v>
      </c>
      <c r="FE10" s="24">
        <f>FF10-FD10</f>
        <v>191.93</v>
      </c>
      <c r="FF10" s="24">
        <v>9869.79</v>
      </c>
      <c r="FG10" s="24">
        <f>FH10-FF10</f>
        <v>14.6099999999988</v>
      </c>
      <c r="FH10" s="24">
        <v>9884.4</v>
      </c>
      <c r="FI10" s="24">
        <f>FJ10-FH10</f>
        <v>167.390000000001</v>
      </c>
      <c r="FJ10" s="24">
        <v>10051.79</v>
      </c>
      <c r="FK10" s="23" t="s">
        <v>126</v>
      </c>
      <c r="FL10" s="9">
        <v>2738.92</v>
      </c>
      <c r="FM10" s="9" t="s">
        <v>127</v>
      </c>
      <c r="FN10" s="9">
        <v>1327.12</v>
      </c>
      <c r="FO10" s="5">
        <v>500</v>
      </c>
      <c r="FP10" s="5">
        <v>8.6</v>
      </c>
      <c r="FQ10" s="5">
        <v>191519</v>
      </c>
      <c r="FR10" s="9">
        <f>2.3635/(FJ10/FL10)</f>
        <v>0.644008422380491</v>
      </c>
      <c r="FS10" s="9">
        <f>BP10-D10</f>
        <v>3022.78</v>
      </c>
      <c r="FT10" s="9">
        <f>FJ10-FB10</f>
        <v>478.26</v>
      </c>
    </row>
    <row r="11" spans="1:185">
      <c r="A11" s="1" t="s">
        <v>124</v>
      </c>
      <c r="B11" s="1" t="s">
        <v>128</v>
      </c>
      <c r="C11" s="1" t="s">
        <v>129</v>
      </c>
      <c r="D11" s="1">
        <v>1350.52</v>
      </c>
      <c r="E11" s="1">
        <f>F11-D11</f>
        <v>52.6800000000001</v>
      </c>
      <c r="F11" s="1">
        <v>1403.2</v>
      </c>
      <c r="G11" s="1">
        <f>H11-F11</f>
        <v>55.3199999999999</v>
      </c>
      <c r="H11" s="1">
        <v>1458.52</v>
      </c>
      <c r="I11" s="1">
        <f>J11-H11</f>
        <v>32.6800000000001</v>
      </c>
      <c r="J11" s="1">
        <v>1491.2</v>
      </c>
      <c r="K11" s="1">
        <f>L11-J11</f>
        <v>54.96</v>
      </c>
      <c r="L11" s="1">
        <v>1546.16</v>
      </c>
      <c r="M11" s="1">
        <f>N11-L11</f>
        <v>92.1299999999999</v>
      </c>
      <c r="N11" s="1">
        <v>1638.29</v>
      </c>
      <c r="O11" s="1">
        <f>P11-N11</f>
        <v>59.4400000000001</v>
      </c>
      <c r="P11" s="1">
        <v>1697.73</v>
      </c>
      <c r="Q11" s="1">
        <f>R11-P11</f>
        <v>71.3399999999999</v>
      </c>
      <c r="R11" s="1">
        <v>1769.07</v>
      </c>
      <c r="S11" s="1">
        <f>T11-R11</f>
        <v>62.9000000000001</v>
      </c>
      <c r="T11" s="1">
        <v>1831.97</v>
      </c>
      <c r="U11" s="1">
        <f>V11-T11</f>
        <v>66.5899999999999</v>
      </c>
      <c r="V11" s="10">
        <v>1898.56</v>
      </c>
      <c r="W11" s="1">
        <f>X11-V11</f>
        <v>48.77</v>
      </c>
      <c r="X11" s="10">
        <v>1947.33</v>
      </c>
      <c r="Y11" s="1">
        <f>Z11-X11</f>
        <v>59.47</v>
      </c>
      <c r="Z11" s="1">
        <v>2006.8</v>
      </c>
      <c r="AA11" s="1">
        <f>AB11-Z11</f>
        <v>82.3900000000001</v>
      </c>
      <c r="AB11" s="1">
        <v>2089.19</v>
      </c>
      <c r="AC11" s="1">
        <f>AD11-AB11</f>
        <v>98.8200000000002</v>
      </c>
      <c r="AD11" s="1">
        <v>2188.01</v>
      </c>
      <c r="AE11" s="11">
        <f>AF11-AD11</f>
        <v>16.2299999999996</v>
      </c>
      <c r="AF11" s="11">
        <v>2204.24</v>
      </c>
      <c r="AG11" s="11">
        <f>AH11-AF11</f>
        <v>95.3900000000003</v>
      </c>
      <c r="AH11" s="11">
        <v>2299.63</v>
      </c>
      <c r="AI11" s="11">
        <f>AJ11-AH11</f>
        <v>60.0299999999997</v>
      </c>
      <c r="AJ11" s="11">
        <v>2359.66</v>
      </c>
      <c r="AK11" s="11">
        <f>AL11-AJ11</f>
        <v>45.3800000000001</v>
      </c>
      <c r="AL11" s="11">
        <v>2405.04</v>
      </c>
      <c r="AM11" s="11">
        <f>AN11-AL11</f>
        <v>44.75</v>
      </c>
      <c r="AN11" s="11">
        <v>2449.79</v>
      </c>
      <c r="AO11" s="11">
        <f>AP11-AN11</f>
        <v>67.21</v>
      </c>
      <c r="AP11" s="11">
        <v>2517</v>
      </c>
      <c r="AQ11" s="11">
        <f>AR11-AP11</f>
        <v>77.1799999999998</v>
      </c>
      <c r="AR11" s="11">
        <v>2594.18</v>
      </c>
      <c r="AS11" s="11">
        <f>AT11-AR11</f>
        <v>66.6600000000003</v>
      </c>
      <c r="AT11" s="11">
        <v>2660.84</v>
      </c>
      <c r="AU11" s="12">
        <f>AV11-AT11</f>
        <v>56.3799999999997</v>
      </c>
      <c r="AV11" s="12">
        <v>2717.22</v>
      </c>
      <c r="AW11" s="13">
        <f>AX11-AV11</f>
        <v>98.5600000000004</v>
      </c>
      <c r="AX11" s="13">
        <v>2815.78</v>
      </c>
      <c r="AY11" s="13">
        <f>AZ11-AX11</f>
        <v>69.3599999999997</v>
      </c>
      <c r="AZ11" s="13">
        <v>2885.14</v>
      </c>
      <c r="BA11" s="13">
        <f>BB11-AZ11</f>
        <v>51.7000000000003</v>
      </c>
      <c r="BB11" s="13">
        <v>2936.84</v>
      </c>
      <c r="BC11" s="13">
        <f>BD11-BB11</f>
        <v>48.27</v>
      </c>
      <c r="BD11" s="13">
        <v>2985.11</v>
      </c>
      <c r="BE11" s="12">
        <f>BF11-BD11</f>
        <v>116.59</v>
      </c>
      <c r="BF11" s="13">
        <v>3101.7</v>
      </c>
      <c r="BG11" s="13">
        <f>BH11-BF11</f>
        <v>105.88</v>
      </c>
      <c r="BH11" s="13">
        <v>3207.58</v>
      </c>
      <c r="BI11" s="13">
        <f>BJ11-BH11</f>
        <v>53.5500000000002</v>
      </c>
      <c r="BJ11" s="13">
        <v>3261.13</v>
      </c>
      <c r="BK11" s="13">
        <f>BL11-BJ11</f>
        <v>69.3499999999999</v>
      </c>
      <c r="BL11" s="13">
        <v>3330.48</v>
      </c>
      <c r="BM11" s="13">
        <f>BN11-BL11</f>
        <v>51.21</v>
      </c>
      <c r="BN11" s="13">
        <v>3381.69</v>
      </c>
      <c r="BO11" s="13">
        <f>BP11-BN11</f>
        <v>73.3899999999999</v>
      </c>
      <c r="BP11" s="13">
        <v>3455.08</v>
      </c>
      <c r="BQ11" s="13">
        <f>BR11-BP11</f>
        <v>51.1500000000001</v>
      </c>
      <c r="BR11" s="13">
        <v>3506.23</v>
      </c>
      <c r="BS11" s="13">
        <f>BT11-BR11</f>
        <v>65.75</v>
      </c>
      <c r="BT11" s="13">
        <v>3571.98</v>
      </c>
      <c r="BU11" s="13">
        <f>BV11-BT11</f>
        <v>48.3299999999999</v>
      </c>
      <c r="BV11" s="13">
        <v>3620.31</v>
      </c>
      <c r="BW11" s="13">
        <f>BX11-BV11</f>
        <v>53.7600000000002</v>
      </c>
      <c r="BX11" s="13">
        <v>3674.07</v>
      </c>
      <c r="BY11" s="13">
        <f>BZ11-BX11</f>
        <v>42.46</v>
      </c>
      <c r="BZ11" s="13">
        <v>3716.53</v>
      </c>
      <c r="CA11" s="13">
        <f>CB11-BZ11</f>
        <v>90.29</v>
      </c>
      <c r="CB11" s="13">
        <v>3806.82</v>
      </c>
      <c r="CC11" s="13">
        <f>CD11-CB11</f>
        <v>61.29</v>
      </c>
      <c r="CD11" s="13">
        <v>3868.11</v>
      </c>
      <c r="CE11" s="13">
        <f>CF11-CD11</f>
        <v>47.0999999999999</v>
      </c>
      <c r="CF11" s="13">
        <v>3915.21</v>
      </c>
      <c r="CG11" s="13">
        <f>CH11-CF11</f>
        <v>63.4200000000001</v>
      </c>
      <c r="CH11" s="13">
        <v>3978.63</v>
      </c>
      <c r="CI11" s="13">
        <f>CJ11-CH11</f>
        <v>59.52</v>
      </c>
      <c r="CJ11" s="13">
        <v>4038.15</v>
      </c>
      <c r="CK11" s="13">
        <f>CL11-CJ11</f>
        <v>36.5499999999997</v>
      </c>
      <c r="CL11" s="13">
        <v>4074.7</v>
      </c>
      <c r="CM11" s="13">
        <f>CN11-CL11</f>
        <v>28.1500000000005</v>
      </c>
      <c r="CN11" s="13">
        <v>4102.85</v>
      </c>
      <c r="CO11" s="13">
        <f>CP11-CN11</f>
        <v>106.41</v>
      </c>
      <c r="CP11" s="13">
        <v>4209.26</v>
      </c>
      <c r="CQ11" s="13">
        <f>CR11-CP11</f>
        <v>16.0199999999995</v>
      </c>
      <c r="CR11" s="13">
        <v>4225.28</v>
      </c>
      <c r="CS11" s="13">
        <f>CT11-CR11</f>
        <v>194.23</v>
      </c>
      <c r="CT11" s="13">
        <v>4419.51</v>
      </c>
      <c r="CU11" s="13">
        <f>CV11-CT11</f>
        <v>125.9</v>
      </c>
      <c r="CV11" s="13">
        <v>4545.41</v>
      </c>
      <c r="CW11" s="12">
        <f>CX11-CV11</f>
        <v>74.25</v>
      </c>
      <c r="CX11" s="13">
        <v>4619.66</v>
      </c>
      <c r="CY11" s="13">
        <f>CZ11-CX11</f>
        <v>56.0900000000001</v>
      </c>
      <c r="CZ11" s="13">
        <v>4675.75</v>
      </c>
      <c r="DA11" s="13">
        <f>DB11-CZ11</f>
        <v>39.25</v>
      </c>
      <c r="DB11" s="13">
        <v>4715</v>
      </c>
      <c r="DC11" s="13">
        <f>DD11-DB11</f>
        <v>107.33</v>
      </c>
      <c r="DD11" s="13">
        <v>4822.33</v>
      </c>
      <c r="DE11" s="13">
        <f>DF11-DD11</f>
        <v>43.9800000000005</v>
      </c>
      <c r="DF11" s="13">
        <v>4866.31</v>
      </c>
      <c r="DG11" s="13">
        <f>DH11-DF11</f>
        <v>52.1699999999992</v>
      </c>
      <c r="DH11" s="13">
        <v>4918.48</v>
      </c>
      <c r="DI11" s="13">
        <f>DJ11-DH11</f>
        <v>46.6900000000005</v>
      </c>
      <c r="DJ11" s="13">
        <v>4965.17</v>
      </c>
      <c r="DK11" s="13">
        <f>DL11-DJ11</f>
        <v>44.3699999999999</v>
      </c>
      <c r="DL11" s="13">
        <v>5009.54</v>
      </c>
      <c r="DM11" s="13">
        <f>DN11-DL11</f>
        <v>187.05</v>
      </c>
      <c r="DN11" s="13">
        <v>5196.59</v>
      </c>
      <c r="DO11" s="12">
        <f>DP11-DN11</f>
        <v>71.1899999999996</v>
      </c>
      <c r="DP11" s="13">
        <v>5267.78</v>
      </c>
      <c r="DQ11" s="13">
        <f>DR11-DP11</f>
        <v>61.0799999999999</v>
      </c>
      <c r="DR11" s="13">
        <v>5328.86</v>
      </c>
      <c r="DS11" s="13">
        <f>DT11-DR11</f>
        <v>87.75</v>
      </c>
      <c r="DT11" s="13">
        <v>5416.61</v>
      </c>
      <c r="DU11" s="13">
        <f>DV11-DT11</f>
        <v>73.8100000000004</v>
      </c>
      <c r="DV11" s="13">
        <v>5490.42</v>
      </c>
      <c r="DW11" s="13">
        <f>DX11-DV11</f>
        <v>-60.6400000000003</v>
      </c>
      <c r="DX11" s="13">
        <v>5429.78</v>
      </c>
      <c r="DY11" s="13">
        <f>DZ11-DX11</f>
        <v>38.8000000000002</v>
      </c>
      <c r="DZ11" s="13">
        <v>5468.58</v>
      </c>
      <c r="EA11" s="13">
        <f>EB11-DZ11</f>
        <v>66.0900000000001</v>
      </c>
      <c r="EB11" s="13">
        <v>5534.67</v>
      </c>
      <c r="EC11" s="13">
        <f>ED11-EB11</f>
        <v>62.0699999999997</v>
      </c>
      <c r="ED11" s="13">
        <v>5596.74</v>
      </c>
      <c r="EE11" s="13">
        <f>EF11-ED11</f>
        <v>42.6999999999998</v>
      </c>
      <c r="EF11" s="13">
        <v>5639.44</v>
      </c>
      <c r="EG11" s="13">
        <f>EH11-EF11</f>
        <v>76.8300000000008</v>
      </c>
      <c r="EH11" s="13">
        <v>5716.27</v>
      </c>
      <c r="EI11" s="13">
        <f>EJ11-EH11</f>
        <v>58.4099999999999</v>
      </c>
      <c r="EJ11" s="13">
        <v>5774.68</v>
      </c>
      <c r="EK11" s="13">
        <f>EL11-EJ11</f>
        <v>120.03</v>
      </c>
      <c r="EL11" s="13">
        <v>5894.71</v>
      </c>
      <c r="EM11" s="13">
        <f>EN11-EL11</f>
        <v>141.8</v>
      </c>
      <c r="EN11" s="13">
        <v>6036.51</v>
      </c>
      <c r="EO11" s="13">
        <f>EP11-EN11</f>
        <v>40.1599999999999</v>
      </c>
      <c r="EP11" s="13">
        <v>6076.67</v>
      </c>
      <c r="EQ11" s="13">
        <f>ER11-EP11</f>
        <v>53.8800000000001</v>
      </c>
      <c r="ER11" s="13">
        <v>6130.55</v>
      </c>
      <c r="ES11" s="13">
        <f>ET11-ER11</f>
        <v>88.8299999999999</v>
      </c>
      <c r="ET11" s="13">
        <v>6219.38</v>
      </c>
      <c r="EU11" s="13">
        <f>EV11-ET11</f>
        <v>111.59</v>
      </c>
      <c r="EV11" s="13">
        <v>6330.97</v>
      </c>
      <c r="EW11" s="13">
        <f>EX11-EV11</f>
        <v>57.6899999999996</v>
      </c>
      <c r="EX11" s="13">
        <v>6388.66</v>
      </c>
      <c r="EY11" s="13">
        <f>EZ11-EX11</f>
        <v>48.6900000000005</v>
      </c>
      <c r="EZ11" s="13">
        <v>6437.35</v>
      </c>
      <c r="FA11" s="13">
        <f>FB11-EZ11</f>
        <v>100.87</v>
      </c>
      <c r="FB11" s="13">
        <v>6538.22</v>
      </c>
      <c r="FC11" s="13">
        <f>FD11-FB11</f>
        <v>152.83</v>
      </c>
      <c r="FD11" s="13">
        <v>6691.05</v>
      </c>
      <c r="FE11" s="13">
        <f>FF11-FD11</f>
        <v>60.8199999999997</v>
      </c>
      <c r="FF11" s="13">
        <v>6751.87</v>
      </c>
      <c r="FG11" s="13">
        <f>FH11-FF11</f>
        <v>55.8199999999997</v>
      </c>
      <c r="FH11" s="12">
        <v>6807.69</v>
      </c>
      <c r="FI11" s="13">
        <f>FJ11-FH11</f>
        <v>28.8900000000003</v>
      </c>
      <c r="FJ11" s="13">
        <v>6836.58</v>
      </c>
      <c r="FK11" s="12" t="s">
        <v>109</v>
      </c>
      <c r="FL11" s="11">
        <v>2183.87</v>
      </c>
      <c r="FM11" s="11" t="s">
        <v>110</v>
      </c>
      <c r="FN11" s="11">
        <v>896.02</v>
      </c>
      <c r="FO11" s="1">
        <v>65</v>
      </c>
      <c r="FP11" s="1">
        <v>1.4</v>
      </c>
      <c r="FQ11" s="1">
        <v>127603</v>
      </c>
      <c r="FR11" s="11">
        <f>2.3635/(FJ11/FL11)</f>
        <v>0.754993980177223</v>
      </c>
      <c r="FS11" s="11">
        <f>BP11-D11</f>
        <v>2104.56</v>
      </c>
      <c r="FT11" s="11">
        <f>FJ11-FB11</f>
        <v>298.36</v>
      </c>
    </row>
    <row r="12" spans="1:185">
      <c r="A12" s="2" t="s">
        <v>124</v>
      </c>
      <c r="B12" s="2" t="s">
        <v>130</v>
      </c>
      <c r="C12" s="2" t="s">
        <v>108</v>
      </c>
      <c r="D12" s="2">
        <v>1156.57</v>
      </c>
      <c r="E12" s="2">
        <f>F12-D12</f>
        <v>40.4400000000001</v>
      </c>
      <c r="F12" s="2">
        <v>1197.01</v>
      </c>
      <c r="G12" s="2">
        <f>H12-F12</f>
        <v>46.97</v>
      </c>
      <c r="H12" s="2">
        <v>1243.98</v>
      </c>
      <c r="I12" s="2">
        <f>J12-H12</f>
        <v>58.49</v>
      </c>
      <c r="J12" s="2">
        <v>1302.47</v>
      </c>
      <c r="K12" s="2">
        <f>L12-J12</f>
        <v>36.6399999999999</v>
      </c>
      <c r="L12" s="2">
        <v>1339.11</v>
      </c>
      <c r="M12" s="2">
        <f>N12-L12</f>
        <v>33.99</v>
      </c>
      <c r="N12" s="2">
        <v>1373.1</v>
      </c>
      <c r="O12" s="2">
        <f>P12-N12</f>
        <v>30.0600000000002</v>
      </c>
      <c r="P12" s="2">
        <v>1403.16</v>
      </c>
      <c r="Q12" s="2">
        <f>R12-P12</f>
        <v>47.3</v>
      </c>
      <c r="R12" s="2">
        <v>1450.46</v>
      </c>
      <c r="S12" s="2">
        <f>T12-R12</f>
        <v>46.8299999999999</v>
      </c>
      <c r="T12" s="2">
        <v>1497.29</v>
      </c>
      <c r="U12" s="2">
        <f>V12-T12</f>
        <v>58.6500000000001</v>
      </c>
      <c r="V12" s="14">
        <v>1555.94</v>
      </c>
      <c r="W12" s="2">
        <f>X12-V12</f>
        <v>70.3099999999999</v>
      </c>
      <c r="X12" s="14">
        <v>1626.25</v>
      </c>
      <c r="Y12" s="2">
        <f>Z12-X12</f>
        <v>31.49</v>
      </c>
      <c r="Z12" s="2">
        <v>1657.74</v>
      </c>
      <c r="AA12" s="2">
        <f>AB12-Z12</f>
        <v>59.21</v>
      </c>
      <c r="AB12" s="2">
        <v>1716.95</v>
      </c>
      <c r="AC12" s="2">
        <f>AD12-AB12</f>
        <v>31.99</v>
      </c>
      <c r="AD12" s="2">
        <v>1748.94</v>
      </c>
      <c r="AE12" s="15">
        <f>AF12-AD12</f>
        <v>52.0999999999999</v>
      </c>
      <c r="AF12" s="15">
        <v>1801.04</v>
      </c>
      <c r="AG12" s="15">
        <f>AH12-AF12</f>
        <v>74.74</v>
      </c>
      <c r="AH12" s="15">
        <v>1875.78</v>
      </c>
      <c r="AI12" s="15">
        <f>AJ12-AH12</f>
        <v>51.3700000000001</v>
      </c>
      <c r="AJ12" s="15">
        <v>1927.15</v>
      </c>
      <c r="AK12" s="15">
        <f>AL12-AJ12</f>
        <v>58.48</v>
      </c>
      <c r="AL12" s="15">
        <v>1985.63</v>
      </c>
      <c r="AM12" s="15">
        <f>AN12-AL12</f>
        <v>31.6599999999999</v>
      </c>
      <c r="AN12" s="15">
        <v>2017.29</v>
      </c>
      <c r="AO12" s="15">
        <f>AP12-AN12</f>
        <v>53.0100000000002</v>
      </c>
      <c r="AP12" s="15">
        <v>2070.3</v>
      </c>
      <c r="AQ12" s="15">
        <f>AR12-AP12</f>
        <v>52.5</v>
      </c>
      <c r="AR12" s="15">
        <v>2122.8</v>
      </c>
      <c r="AS12" s="15">
        <f>AT12-AR12</f>
        <v>65.02</v>
      </c>
      <c r="AT12" s="15">
        <v>2187.82</v>
      </c>
      <c r="AU12" s="16">
        <f>AV12-AT12</f>
        <v>39.3199999999997</v>
      </c>
      <c r="AV12" s="16">
        <v>2227.14</v>
      </c>
      <c r="AW12" s="17">
        <f>AX12-AV12</f>
        <v>65.5799999999999</v>
      </c>
      <c r="AX12" s="17">
        <v>2292.72</v>
      </c>
      <c r="AY12" s="17">
        <f>AZ12-AX12</f>
        <v>43.3800000000001</v>
      </c>
      <c r="AZ12" s="17">
        <v>2336.1</v>
      </c>
      <c r="BA12" s="17">
        <f>BB12-AZ12</f>
        <v>56.0500000000002</v>
      </c>
      <c r="BB12" s="17">
        <v>2392.15</v>
      </c>
      <c r="BC12" s="17">
        <f>BD12-BB12</f>
        <v>36.2999999999997</v>
      </c>
      <c r="BD12" s="17">
        <v>2428.45</v>
      </c>
      <c r="BE12" s="16">
        <f>BF12-BD12</f>
        <v>49.8200000000002</v>
      </c>
      <c r="BF12" s="17">
        <v>2478.27</v>
      </c>
      <c r="BG12" s="17">
        <f>BH12-BF12</f>
        <v>65.7800000000002</v>
      </c>
      <c r="BH12" s="17">
        <v>2544.05</v>
      </c>
      <c r="BI12" s="17">
        <f>BJ12-BH12</f>
        <v>16.29</v>
      </c>
      <c r="BJ12" s="17">
        <v>2560.34</v>
      </c>
      <c r="BK12" s="17">
        <f>BL12-BJ12</f>
        <v>84.4099999999999</v>
      </c>
      <c r="BL12" s="17">
        <v>2644.75</v>
      </c>
      <c r="BM12" s="17">
        <f>BN12-BL12</f>
        <v>33.6599999999999</v>
      </c>
      <c r="BN12" s="17">
        <v>2678.41</v>
      </c>
      <c r="BO12" s="17">
        <f>BP12-BN12</f>
        <v>51.1500000000001</v>
      </c>
      <c r="BP12" s="17">
        <v>2729.56</v>
      </c>
      <c r="BQ12" s="17">
        <f>BR12-BP12</f>
        <v>50.8299999999999</v>
      </c>
      <c r="BR12" s="17">
        <v>2780.39</v>
      </c>
      <c r="BS12" s="17">
        <f>BT12-BR12</f>
        <v>33.9300000000003</v>
      </c>
      <c r="BT12" s="17">
        <v>2814.32</v>
      </c>
      <c r="BU12" s="17">
        <f>BV12-BT12</f>
        <v>43.9400000000001</v>
      </c>
      <c r="BV12" s="17">
        <v>2858.26</v>
      </c>
      <c r="BW12" s="17">
        <f>BX12-BV12</f>
        <v>47.4199999999996</v>
      </c>
      <c r="BX12" s="17">
        <v>2905.68</v>
      </c>
      <c r="BY12" s="17">
        <f>BZ12-BX12</f>
        <v>51.02</v>
      </c>
      <c r="BZ12" s="17">
        <v>2956.7</v>
      </c>
      <c r="CA12" s="17">
        <f>CB12-BZ12</f>
        <v>67.3400000000001</v>
      </c>
      <c r="CB12" s="17">
        <v>3024.04</v>
      </c>
      <c r="CC12" s="17">
        <f>CD12-CB12</f>
        <v>59.4200000000001</v>
      </c>
      <c r="CD12" s="17">
        <v>3083.46</v>
      </c>
      <c r="CE12" s="17">
        <f>CF12-CD12</f>
        <v>49.1900000000001</v>
      </c>
      <c r="CF12" s="17">
        <v>3132.65</v>
      </c>
      <c r="CG12" s="17">
        <f>CH12-CF12</f>
        <v>46.54</v>
      </c>
      <c r="CH12" s="17">
        <v>3179.19</v>
      </c>
      <c r="CI12" s="17">
        <f>CJ12-CH12</f>
        <v>23.3600000000001</v>
      </c>
      <c r="CJ12" s="17">
        <v>3202.55</v>
      </c>
      <c r="CK12" s="17">
        <f>CL12-CJ12</f>
        <v>39.1199999999999</v>
      </c>
      <c r="CL12" s="17">
        <v>3241.67</v>
      </c>
      <c r="CM12" s="17">
        <f>CN12-CL12</f>
        <v>57.2199999999998</v>
      </c>
      <c r="CN12" s="17">
        <v>3298.89</v>
      </c>
      <c r="CO12" s="17">
        <f>CP12-CN12</f>
        <v>48.46</v>
      </c>
      <c r="CP12" s="17">
        <v>3347.35</v>
      </c>
      <c r="CQ12" s="17">
        <f>CR12-CP12</f>
        <v>37.0799999999999</v>
      </c>
      <c r="CR12" s="17">
        <v>3384.43</v>
      </c>
      <c r="CS12" s="17">
        <f>CT12-CR12</f>
        <v>144.73</v>
      </c>
      <c r="CT12" s="17">
        <v>3529.16</v>
      </c>
      <c r="CU12" s="17">
        <f>CV12-CT12</f>
        <v>38.7400000000002</v>
      </c>
      <c r="CV12" s="17">
        <v>3567.9</v>
      </c>
      <c r="CW12" s="16">
        <f>CX12-CV12</f>
        <v>62.7399999999998</v>
      </c>
      <c r="CX12" s="17">
        <v>3630.64</v>
      </c>
      <c r="CY12" s="17">
        <f>CZ12-CX12</f>
        <v>36.1200000000003</v>
      </c>
      <c r="CZ12" s="17">
        <v>3666.76</v>
      </c>
      <c r="DA12" s="17">
        <f>DB12-CZ12</f>
        <v>36.7299999999996</v>
      </c>
      <c r="DB12" s="17">
        <v>3703.49</v>
      </c>
      <c r="DC12" s="17">
        <f>DD12-DB12</f>
        <v>53.7700000000004</v>
      </c>
      <c r="DD12" s="17">
        <v>3757.26</v>
      </c>
      <c r="DE12" s="17">
        <f>DF12-DD12</f>
        <v>59.2099999999996</v>
      </c>
      <c r="DF12" s="17">
        <v>3816.47</v>
      </c>
      <c r="DG12" s="17">
        <f>DH12-DF12</f>
        <v>25.75</v>
      </c>
      <c r="DH12" s="17">
        <v>3842.22</v>
      </c>
      <c r="DI12" s="17">
        <f>DJ12-DH12</f>
        <v>61.21</v>
      </c>
      <c r="DJ12" s="17">
        <v>3903.43</v>
      </c>
      <c r="DK12" s="17">
        <f>DL12-DJ12</f>
        <v>46.3700000000003</v>
      </c>
      <c r="DL12" s="17">
        <v>3949.8</v>
      </c>
      <c r="DM12" s="17">
        <f>DN12-DL12</f>
        <v>70.9199999999996</v>
      </c>
      <c r="DN12" s="17">
        <v>4020.72</v>
      </c>
      <c r="DO12" s="16">
        <f>DP12-DN12</f>
        <v>72.2000000000003</v>
      </c>
      <c r="DP12" s="17">
        <v>4092.92</v>
      </c>
      <c r="DQ12" s="17">
        <f>DR12-DP12</f>
        <v>55.2699999999995</v>
      </c>
      <c r="DR12" s="17">
        <v>4148.19</v>
      </c>
      <c r="DS12" s="17">
        <f>DT12-DR12</f>
        <v>43.1300000000001</v>
      </c>
      <c r="DT12" s="17">
        <v>4191.32</v>
      </c>
      <c r="DU12" s="17">
        <f>DV12-DT12</f>
        <v>35.4400000000005</v>
      </c>
      <c r="DV12" s="17">
        <v>4226.76</v>
      </c>
      <c r="DW12" s="17">
        <f>DX12-DV12</f>
        <v>48.6499999999996</v>
      </c>
      <c r="DX12" s="17">
        <v>4275.41</v>
      </c>
      <c r="DY12" s="17">
        <f>DZ12-DX12</f>
        <v>36.1500000000005</v>
      </c>
      <c r="DZ12" s="17">
        <v>4311.56</v>
      </c>
      <c r="EA12" s="17">
        <f>EB12-DZ12</f>
        <v>58.4499999999998</v>
      </c>
      <c r="EB12" s="17">
        <v>4370.01</v>
      </c>
      <c r="EC12" s="17">
        <f>ED12-EB12</f>
        <v>21.0799999999999</v>
      </c>
      <c r="ED12" s="17">
        <v>4391.09</v>
      </c>
      <c r="EE12" s="17">
        <f>EF12-ED12</f>
        <v>52.8099999999995</v>
      </c>
      <c r="EF12" s="17">
        <v>4443.9</v>
      </c>
      <c r="EG12" s="17">
        <f>EH12-EF12</f>
        <v>57.9300000000003</v>
      </c>
      <c r="EH12" s="17">
        <v>4501.83</v>
      </c>
      <c r="EI12" s="17">
        <f>EJ12-EH12</f>
        <v>16.6900000000005</v>
      </c>
      <c r="EJ12" s="17">
        <v>4518.52</v>
      </c>
      <c r="EK12" s="17">
        <f>EL12-EJ12</f>
        <v>36.5799999999999</v>
      </c>
      <c r="EL12" s="17">
        <v>4555.1</v>
      </c>
      <c r="EM12" s="17">
        <f>EN12-EL12</f>
        <v>46.9299999999994</v>
      </c>
      <c r="EN12" s="17">
        <v>4602.03</v>
      </c>
      <c r="EO12" s="17">
        <f>EP12-EN12</f>
        <v>64.5799999999999</v>
      </c>
      <c r="EP12" s="17">
        <v>4666.61</v>
      </c>
      <c r="EQ12" s="17">
        <f>ER12-EP12</f>
        <v>66.8299999999999</v>
      </c>
      <c r="ER12" s="17">
        <v>4733.44</v>
      </c>
      <c r="ES12" s="17">
        <f>ET12-ER12</f>
        <v>75.2400000000007</v>
      </c>
      <c r="ET12" s="17">
        <v>4808.68</v>
      </c>
      <c r="EU12" s="17">
        <f>EV12-ET12</f>
        <v>29.2599999999993</v>
      </c>
      <c r="EV12" s="17">
        <v>4837.94</v>
      </c>
      <c r="EW12" s="17">
        <f>EX12-EV12</f>
        <v>36.4700000000003</v>
      </c>
      <c r="EX12" s="17">
        <v>4874.41</v>
      </c>
      <c r="EY12" s="17">
        <f>EZ12-EX12</f>
        <v>34.3699999999999</v>
      </c>
      <c r="EZ12" s="17">
        <v>4908.78</v>
      </c>
      <c r="FA12" s="17">
        <f>FB12-EZ12</f>
        <v>81.21</v>
      </c>
      <c r="FB12" s="17">
        <v>4989.99</v>
      </c>
      <c r="FC12" s="17">
        <f>FD12-FB12</f>
        <v>25.5700000000006</v>
      </c>
      <c r="FD12" s="17">
        <v>5015.56</v>
      </c>
      <c r="FE12" s="17">
        <f>FF12-FD12</f>
        <v>61.71</v>
      </c>
      <c r="FF12" s="17">
        <v>5077.27</v>
      </c>
      <c r="FG12" s="17">
        <f>FH12-FF12</f>
        <v>94.0299999999997</v>
      </c>
      <c r="FH12" s="17">
        <v>5171.3</v>
      </c>
      <c r="FI12" s="17">
        <f>FJ12-FH12</f>
        <v>32.1899999999996</v>
      </c>
      <c r="FJ12" s="17">
        <v>5203.49</v>
      </c>
      <c r="FK12" s="16" t="s">
        <v>131</v>
      </c>
      <c r="FL12" s="15">
        <v>1638.08</v>
      </c>
      <c r="FM12" s="15" t="s">
        <v>101</v>
      </c>
      <c r="FN12" s="15">
        <v>614.12</v>
      </c>
      <c r="FO12" s="2">
        <v>25</v>
      </c>
      <c r="FP12" s="2">
        <v>3</v>
      </c>
      <c r="FQ12" s="2">
        <v>100457</v>
      </c>
      <c r="FR12" s="15">
        <f>2.3635/(FJ12/FL12)</f>
        <v>0.744039496568649</v>
      </c>
      <c r="FS12" s="15">
        <f>BP12-D12</f>
        <v>1572.99</v>
      </c>
      <c r="FT12" s="15">
        <f>FJ12-FB12</f>
        <v>213.5</v>
      </c>
    </row>
    <row r="13" spans="1:185">
      <c r="A13" s="2" t="s">
        <v>124</v>
      </c>
      <c r="B13" s="2" t="s">
        <v>132</v>
      </c>
      <c r="C13" s="2" t="s">
        <v>129</v>
      </c>
      <c r="D13" s="2">
        <v>907.94</v>
      </c>
      <c r="E13" s="2">
        <f>F13-D13</f>
        <v>64.0799999999999</v>
      </c>
      <c r="F13" s="2">
        <v>972.02</v>
      </c>
      <c r="G13" s="2">
        <f>H13-F13</f>
        <v>36.26</v>
      </c>
      <c r="H13" s="2">
        <v>1008.28</v>
      </c>
      <c r="I13" s="2">
        <f>J13-H13</f>
        <v>28.8</v>
      </c>
      <c r="J13" s="2">
        <v>1037.08</v>
      </c>
      <c r="K13" s="2">
        <f>L13-J13</f>
        <v>40.1000000000001</v>
      </c>
      <c r="L13" s="2">
        <v>1077.18</v>
      </c>
      <c r="M13" s="2">
        <f>N13-L13</f>
        <v>26.03</v>
      </c>
      <c r="N13" s="2">
        <v>1103.21</v>
      </c>
      <c r="O13" s="2">
        <f>P13-N13</f>
        <v>28.3499999999999</v>
      </c>
      <c r="P13" s="2">
        <v>1131.56</v>
      </c>
      <c r="Q13" s="2">
        <f>R13-P13</f>
        <v>50.1900000000001</v>
      </c>
      <c r="R13" s="2">
        <v>1181.75</v>
      </c>
      <c r="S13" s="2">
        <f>T13-R13</f>
        <v>26.8699999999999</v>
      </c>
      <c r="T13" s="2">
        <v>1208.62</v>
      </c>
      <c r="U13" s="2">
        <f>V13-T13</f>
        <v>58.3000000000002</v>
      </c>
      <c r="V13" s="14">
        <v>1266.92</v>
      </c>
      <c r="W13" s="2">
        <f>X13-V13</f>
        <v>41.0599999999999</v>
      </c>
      <c r="X13" s="14">
        <v>1307.98</v>
      </c>
      <c r="Y13" s="2">
        <f>Z13-X13</f>
        <v>31.49</v>
      </c>
      <c r="Z13" s="2">
        <v>1339.47</v>
      </c>
      <c r="AA13" s="2">
        <f>AB13-Z13</f>
        <v>50.5899999999999</v>
      </c>
      <c r="AB13" s="2">
        <v>1390.06</v>
      </c>
      <c r="AC13" s="2">
        <f>AD13-AB13</f>
        <v>35.8099999999999</v>
      </c>
      <c r="AD13" s="2">
        <v>1425.87</v>
      </c>
      <c r="AE13" s="15">
        <f>AF13-AD13</f>
        <v>62.6300000000001</v>
      </c>
      <c r="AF13" s="15">
        <v>1488.5</v>
      </c>
      <c r="AG13" s="15">
        <f>AH13-AF13</f>
        <v>53.9200000000001</v>
      </c>
      <c r="AH13" s="15">
        <v>1542.42</v>
      </c>
      <c r="AI13" s="15">
        <f>AJ13-AH13</f>
        <v>39.5799999999999</v>
      </c>
      <c r="AJ13" s="15">
        <v>1582</v>
      </c>
      <c r="AK13" s="15">
        <f>AL13-AJ13</f>
        <v>33.3099999999999</v>
      </c>
      <c r="AL13" s="15">
        <v>1615.31</v>
      </c>
      <c r="AM13" s="15">
        <f>AN13-AL13</f>
        <v>20.8099999999999</v>
      </c>
      <c r="AN13" s="15">
        <v>1636.12</v>
      </c>
      <c r="AO13" s="15">
        <f>AP13-AN13</f>
        <v>55.9200000000001</v>
      </c>
      <c r="AP13" s="15">
        <v>1692.04</v>
      </c>
      <c r="AQ13" s="15">
        <f>AR13-AP13</f>
        <v>16.02</v>
      </c>
      <c r="AR13" s="15">
        <v>1708.06</v>
      </c>
      <c r="AS13" s="15">
        <f>AT13-AR13</f>
        <v>34.8300000000002</v>
      </c>
      <c r="AT13" s="15">
        <v>1742.89</v>
      </c>
      <c r="AU13" s="16">
        <f>AV13-AT13</f>
        <v>57.8399999999999</v>
      </c>
      <c r="AV13" s="16">
        <v>1800.73</v>
      </c>
      <c r="AW13" s="17">
        <f>AX13-AV13</f>
        <v>59.8799999999999</v>
      </c>
      <c r="AX13" s="17">
        <v>1860.61</v>
      </c>
      <c r="AY13" s="17">
        <f>AZ13-AX13</f>
        <v>61.5600000000002</v>
      </c>
      <c r="AZ13" s="17">
        <v>1922.17</v>
      </c>
      <c r="BA13" s="17">
        <f>BB13-AZ13</f>
        <v>52.5899999999999</v>
      </c>
      <c r="BB13" s="17">
        <v>1974.76</v>
      </c>
      <c r="BC13" s="17">
        <f>BD13-BB13</f>
        <v>32.25</v>
      </c>
      <c r="BD13" s="17">
        <v>2007.01</v>
      </c>
      <c r="BE13" s="16">
        <f>BF13-BD13</f>
        <v>39.1600000000001</v>
      </c>
      <c r="BF13" s="17">
        <v>2046.17</v>
      </c>
      <c r="BG13" s="17">
        <f>BH13-BF13</f>
        <v>39.8400000000001</v>
      </c>
      <c r="BH13" s="17">
        <v>2086.01</v>
      </c>
      <c r="BI13" s="17">
        <f>BJ13-BH13</f>
        <v>21.3799999999997</v>
      </c>
      <c r="BJ13" s="17">
        <v>2107.39</v>
      </c>
      <c r="BK13" s="17">
        <f>BL13-BJ13</f>
        <v>68.5799999999999</v>
      </c>
      <c r="BL13" s="17">
        <v>2175.97</v>
      </c>
      <c r="BM13" s="17">
        <f>BN13-BL13</f>
        <v>68.1600000000003</v>
      </c>
      <c r="BN13" s="17">
        <v>2244.13</v>
      </c>
      <c r="BO13" s="17">
        <f>BP13-BN13</f>
        <v>25.4200000000001</v>
      </c>
      <c r="BP13" s="17">
        <v>2269.55</v>
      </c>
      <c r="BQ13" s="17">
        <f>BR13-BP13</f>
        <v>47.4499999999998</v>
      </c>
      <c r="BR13" s="17">
        <v>2317</v>
      </c>
      <c r="BS13" s="17">
        <f>BT13-BR13</f>
        <v>20.5900000000001</v>
      </c>
      <c r="BT13" s="17">
        <v>2337.59</v>
      </c>
      <c r="BU13" s="17">
        <f>BV13-BT13</f>
        <v>64.6099999999997</v>
      </c>
      <c r="BV13" s="17">
        <v>2402.2</v>
      </c>
      <c r="BW13" s="17">
        <f>BX13-BV13</f>
        <v>44.4000000000001</v>
      </c>
      <c r="BX13" s="17">
        <v>2446.6</v>
      </c>
      <c r="BY13" s="17">
        <f>BZ13-BX13</f>
        <v>24.4000000000001</v>
      </c>
      <c r="BZ13" s="17">
        <v>2471</v>
      </c>
      <c r="CA13" s="17">
        <f>CB13-BZ13</f>
        <v>38.5700000000002</v>
      </c>
      <c r="CB13" s="17">
        <v>2509.57</v>
      </c>
      <c r="CC13" s="17">
        <f>CD13-CB13</f>
        <v>10.7799999999997</v>
      </c>
      <c r="CD13" s="17">
        <v>2520.35</v>
      </c>
      <c r="CE13" s="17">
        <f>CF13-CD13</f>
        <v>73.1700000000001</v>
      </c>
      <c r="CF13" s="17">
        <v>2593.52</v>
      </c>
      <c r="CG13" s="17">
        <f>CH13-CF13</f>
        <v>33.1199999999999</v>
      </c>
      <c r="CH13" s="17">
        <v>2626.64</v>
      </c>
      <c r="CI13" s="17">
        <f>CJ13-CH13</f>
        <v>22.8299999999999</v>
      </c>
      <c r="CJ13" s="17">
        <v>2649.47</v>
      </c>
      <c r="CK13" s="17">
        <f>CL13-CJ13</f>
        <v>57.3700000000003</v>
      </c>
      <c r="CL13" s="17">
        <v>2706.84</v>
      </c>
      <c r="CM13" s="17">
        <f>CN13-CL13</f>
        <v>34.8199999999997</v>
      </c>
      <c r="CN13" s="17">
        <v>2741.66</v>
      </c>
      <c r="CO13" s="17">
        <f>CP13-CN13</f>
        <v>64.6000000000004</v>
      </c>
      <c r="CP13" s="17">
        <v>2806.26</v>
      </c>
      <c r="CQ13" s="17">
        <f>CR13-CP13</f>
        <v>22.8299999999999</v>
      </c>
      <c r="CR13" s="17">
        <v>2829.09</v>
      </c>
      <c r="CS13" s="17">
        <f>CT13-CR13</f>
        <v>93.25</v>
      </c>
      <c r="CT13" s="17">
        <v>2922.34</v>
      </c>
      <c r="CU13" s="17">
        <f>CV13-CT13</f>
        <v>83.1399999999999</v>
      </c>
      <c r="CV13" s="17">
        <v>3005.48</v>
      </c>
      <c r="CW13" s="16">
        <f>CX13-CV13</f>
        <v>42.3000000000002</v>
      </c>
      <c r="CX13" s="17">
        <v>3047.78</v>
      </c>
      <c r="CY13" s="17">
        <f>CZ13-CX13</f>
        <v>81.8199999999997</v>
      </c>
      <c r="CZ13" s="17">
        <v>3129.6</v>
      </c>
      <c r="DA13" s="17">
        <f>DB13-CZ13</f>
        <v>59.1900000000001</v>
      </c>
      <c r="DB13" s="17">
        <v>3188.79</v>
      </c>
      <c r="DC13" s="17">
        <f>DD13-DB13</f>
        <v>43.3899999999999</v>
      </c>
      <c r="DD13" s="17">
        <v>3232.18</v>
      </c>
      <c r="DE13" s="17">
        <f>DF13-DD13</f>
        <v>57.2000000000003</v>
      </c>
      <c r="DF13" s="17">
        <v>3289.38</v>
      </c>
      <c r="DG13" s="17">
        <f>DH13-DF13</f>
        <v>32.8599999999997</v>
      </c>
      <c r="DH13" s="17">
        <v>3322.24</v>
      </c>
      <c r="DI13" s="17">
        <f>DJ13-DH13</f>
        <v>44.5500000000002</v>
      </c>
      <c r="DJ13" s="17">
        <v>3366.79</v>
      </c>
      <c r="DK13" s="17">
        <f>DL13-DJ13</f>
        <v>26.3099999999999</v>
      </c>
      <c r="DL13" s="17">
        <v>3393.1</v>
      </c>
      <c r="DM13" s="17">
        <f>DN13-DL13</f>
        <v>49.1100000000001</v>
      </c>
      <c r="DN13" s="17">
        <v>3442.21</v>
      </c>
      <c r="DO13" s="16">
        <f>DP13-DN13</f>
        <v>86.6300000000001</v>
      </c>
      <c r="DP13" s="17">
        <v>3528.84</v>
      </c>
      <c r="DQ13" s="17">
        <f>DR13-DP13</f>
        <v>23.9499999999998</v>
      </c>
      <c r="DR13" s="17">
        <v>3552.79</v>
      </c>
      <c r="DS13" s="17">
        <f>DT13-DR13</f>
        <v>65.1100000000001</v>
      </c>
      <c r="DT13" s="17">
        <v>3617.9</v>
      </c>
      <c r="DU13" s="17">
        <f>DV13-DT13</f>
        <v>64.5</v>
      </c>
      <c r="DV13" s="17">
        <v>3682.4</v>
      </c>
      <c r="DW13" s="17">
        <f>DX13-DV13</f>
        <v>28.9299999999998</v>
      </c>
      <c r="DX13" s="17">
        <v>3711.33</v>
      </c>
      <c r="DY13" s="17">
        <f>DZ13-DX13</f>
        <v>67.6399999999999</v>
      </c>
      <c r="DZ13" s="17">
        <v>3778.97</v>
      </c>
      <c r="EA13" s="17">
        <f>EB13-DZ13</f>
        <v>82.2800000000002</v>
      </c>
      <c r="EB13" s="17">
        <v>3861.25</v>
      </c>
      <c r="EC13" s="17">
        <f>ED13-EB13</f>
        <v>11.1399999999999</v>
      </c>
      <c r="ED13" s="17">
        <v>3872.39</v>
      </c>
      <c r="EE13" s="17">
        <f>EF13-ED13</f>
        <v>12.5700000000002</v>
      </c>
      <c r="EF13" s="17">
        <v>3884.96</v>
      </c>
      <c r="EG13" s="17">
        <f>EH13-EF13</f>
        <v>20.2799999999997</v>
      </c>
      <c r="EH13" s="17">
        <v>3905.24</v>
      </c>
      <c r="EI13" s="17">
        <f>EJ13-EH13</f>
        <v>105.95</v>
      </c>
      <c r="EJ13" s="17">
        <v>4011.19</v>
      </c>
      <c r="EK13" s="17">
        <f>EL13-EJ13</f>
        <v>68.8499999999999</v>
      </c>
      <c r="EL13" s="17">
        <v>4080.04</v>
      </c>
      <c r="EM13" s="17">
        <f>EN13-EL13</f>
        <v>17.0500000000002</v>
      </c>
      <c r="EN13" s="17">
        <v>4097.09</v>
      </c>
      <c r="EO13" s="17">
        <f>EP13-EN13</f>
        <v>71.8299999999999</v>
      </c>
      <c r="EP13" s="17">
        <v>4168.92</v>
      </c>
      <c r="EQ13" s="17">
        <f>ER13-EP13</f>
        <v>31.6800000000003</v>
      </c>
      <c r="ER13" s="17">
        <v>4200.6</v>
      </c>
      <c r="ES13" s="17">
        <f>ET13-ER13</f>
        <v>44.1299999999992</v>
      </c>
      <c r="ET13" s="17">
        <v>4244.73</v>
      </c>
      <c r="EU13" s="17">
        <f>EV13-ET13</f>
        <v>66.1000000000004</v>
      </c>
      <c r="EV13" s="17">
        <v>4310.83</v>
      </c>
      <c r="EW13" s="17">
        <f>EX13-EV13</f>
        <v>77.1300000000001</v>
      </c>
      <c r="EX13" s="17">
        <v>4387.96</v>
      </c>
      <c r="EY13" s="17">
        <f>EZ13-EX13</f>
        <v>60.1000000000004</v>
      </c>
      <c r="EZ13" s="17">
        <v>4448.06</v>
      </c>
      <c r="FA13" s="17">
        <f>FB13-EZ13</f>
        <v>22.9199999999992</v>
      </c>
      <c r="FB13" s="17">
        <v>4470.98</v>
      </c>
      <c r="FC13" s="17">
        <f>FD13-FB13</f>
        <v>36.9700000000003</v>
      </c>
      <c r="FD13" s="17">
        <v>4507.95</v>
      </c>
      <c r="FE13" s="17">
        <f>FF13-FD13</f>
        <v>75.8200000000006</v>
      </c>
      <c r="FF13" s="17">
        <v>4583.77</v>
      </c>
      <c r="FG13" s="17">
        <f>FH13-FF13</f>
        <v>25.4399999999996</v>
      </c>
      <c r="FH13" s="16">
        <v>4609.21</v>
      </c>
      <c r="FI13" s="17">
        <f>FJ13-FH13</f>
        <v>39.29</v>
      </c>
      <c r="FJ13" s="17">
        <v>4648.5</v>
      </c>
      <c r="FK13" s="16" t="s">
        <v>133</v>
      </c>
      <c r="FL13" s="15">
        <v>1360.38</v>
      </c>
      <c r="FM13" s="15" t="s">
        <v>133</v>
      </c>
      <c r="FN13" s="15">
        <v>628.67</v>
      </c>
      <c r="FO13" s="2">
        <v>35</v>
      </c>
      <c r="FP13" s="2">
        <v>8.2</v>
      </c>
      <c r="FQ13" s="2">
        <v>65285</v>
      </c>
      <c r="FR13" s="15">
        <f>2.3635/(FJ13/FL13)</f>
        <v>0.691676482736367</v>
      </c>
      <c r="FS13" s="15">
        <f>BP13-D13</f>
        <v>1361.61</v>
      </c>
      <c r="FT13" s="15">
        <f>FJ13-FB13</f>
        <v>177.52</v>
      </c>
    </row>
    <row r="14" spans="1:185">
      <c r="A14" s="8" t="s">
        <v>124</v>
      </c>
      <c r="B14" s="8" t="s">
        <v>134</v>
      </c>
      <c r="C14" s="8" t="s">
        <v>135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25"/>
      <c r="W14" s="8"/>
      <c r="X14" s="25"/>
      <c r="Y14" s="8"/>
      <c r="Z14" s="8"/>
      <c r="AA14" s="8"/>
      <c r="AB14" s="8"/>
      <c r="AC14" s="8"/>
      <c r="AD14" s="8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7"/>
      <c r="AV14" s="27"/>
      <c r="AW14" s="28"/>
      <c r="AX14" s="28"/>
      <c r="AY14" s="28"/>
      <c r="AZ14" s="28"/>
      <c r="BA14" s="28"/>
      <c r="BB14" s="28"/>
      <c r="BC14" s="28"/>
      <c r="BD14" s="28"/>
      <c r="BE14" s="27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7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>
        <v>2158.34</v>
      </c>
      <c r="DK14" s="28">
        <f>DL14-DJ14</f>
        <v>0</v>
      </c>
      <c r="DL14" s="28">
        <v>2158.34</v>
      </c>
      <c r="DM14" s="28">
        <f>DN14-DL14</f>
        <v>55.6999999999998</v>
      </c>
      <c r="DN14" s="28">
        <v>2214.04</v>
      </c>
      <c r="DO14" s="27">
        <f>DP14-DN14</f>
        <v>21.9099999999999</v>
      </c>
      <c r="DP14" s="28">
        <v>2235.95</v>
      </c>
      <c r="DQ14" s="28">
        <f>DR14-DP14</f>
        <v>57.5800000000004</v>
      </c>
      <c r="DR14" s="28">
        <v>2293.53</v>
      </c>
      <c r="DS14" s="28">
        <f>DT14-DR14</f>
        <v>52.4899999999998</v>
      </c>
      <c r="DT14" s="28">
        <v>2346.02</v>
      </c>
      <c r="DU14" s="28">
        <f>DV14-DT14</f>
        <v>0.0399999999999636</v>
      </c>
      <c r="DV14" s="28">
        <v>2346.06</v>
      </c>
      <c r="DW14" s="28">
        <f>DX14-DV14</f>
        <v>0</v>
      </c>
      <c r="DX14" s="28">
        <v>2346.06</v>
      </c>
      <c r="DY14" s="28">
        <f>DZ14-DX14</f>
        <v>38.7600000000002</v>
      </c>
      <c r="DZ14" s="28">
        <v>2384.82</v>
      </c>
      <c r="EA14" s="28">
        <f>EB14-DZ14</f>
        <v>41.4099999999999</v>
      </c>
      <c r="EB14" s="28">
        <v>2426.23</v>
      </c>
      <c r="EC14" s="28">
        <f>ED14-EB14</f>
        <v>149.86</v>
      </c>
      <c r="ED14" s="28">
        <v>2576.09</v>
      </c>
      <c r="EE14" s="28">
        <f>EF14-ED14</f>
        <v>79.1099999999997</v>
      </c>
      <c r="EF14" s="28">
        <v>2655.2</v>
      </c>
      <c r="EG14" s="28">
        <f>EH14-EF14</f>
        <v>43.48</v>
      </c>
      <c r="EH14" s="28">
        <v>2698.68</v>
      </c>
      <c r="EI14" s="28">
        <f>EJ14-EH14</f>
        <v>76.3099999999999</v>
      </c>
      <c r="EJ14" s="28">
        <v>2774.99</v>
      </c>
      <c r="EK14" s="28">
        <f>EL14-EJ14</f>
        <v>65.2200000000003</v>
      </c>
      <c r="EL14" s="28">
        <v>2840.21</v>
      </c>
      <c r="EM14" s="28">
        <f>EN14-EL14</f>
        <v>84.2199999999998</v>
      </c>
      <c r="EN14" s="28">
        <v>2924.43</v>
      </c>
      <c r="EO14" s="28">
        <f>EP14-EN14</f>
        <v>40.5300000000002</v>
      </c>
      <c r="EP14" s="28">
        <v>2964.96</v>
      </c>
      <c r="EQ14" s="28">
        <f>ER14-EP14</f>
        <v>43.6199999999999</v>
      </c>
      <c r="ER14" s="28">
        <v>3008.58</v>
      </c>
      <c r="ES14" s="28">
        <f>ET14-ER14</f>
        <v>27.79</v>
      </c>
      <c r="ET14" s="28">
        <v>3036.37</v>
      </c>
      <c r="EU14" s="28">
        <f>EV14-ET14</f>
        <v>47.5500000000002</v>
      </c>
      <c r="EV14" s="28">
        <v>3083.92</v>
      </c>
      <c r="EW14" s="28">
        <f>EX14-EV14</f>
        <v>76.8499999999999</v>
      </c>
      <c r="EX14" s="28">
        <v>3160.77</v>
      </c>
      <c r="EY14" s="28">
        <f>EZ14-EX14</f>
        <v>24.3499999999999</v>
      </c>
      <c r="EZ14" s="28">
        <v>3185.12</v>
      </c>
      <c r="FA14" s="28">
        <f>FB14-EZ14</f>
        <v>13.0500000000002</v>
      </c>
      <c r="FB14" s="28">
        <v>3198.17</v>
      </c>
      <c r="FC14" s="28">
        <f>FD14-FB14</f>
        <v>24.8199999999997</v>
      </c>
      <c r="FD14" s="28">
        <v>3222.99</v>
      </c>
      <c r="FE14" s="28">
        <f>FF14-FD14</f>
        <v>44.71</v>
      </c>
      <c r="FF14" s="28">
        <v>3267.7</v>
      </c>
      <c r="FG14" s="28">
        <f>FH14-FF14</f>
        <v>9.16000000000031</v>
      </c>
      <c r="FH14" s="27">
        <v>3276.86</v>
      </c>
      <c r="FI14" s="28">
        <f>FJ14-FH14</f>
        <v>0</v>
      </c>
      <c r="FJ14" s="28">
        <v>3276.86</v>
      </c>
      <c r="FK14" s="27" t="s">
        <v>101</v>
      </c>
      <c r="FL14" s="26">
        <v>636.58</v>
      </c>
      <c r="FM14" s="26"/>
      <c r="FN14" s="26"/>
      <c r="FO14" s="8"/>
      <c r="FP14" s="8"/>
      <c r="FQ14" s="8"/>
      <c r="FR14" s="26">
        <f>2.3635/(FJ14/FL14)</f>
        <v>0.459145898817771</v>
      </c>
      <c r="FS14" s="26"/>
      <c r="FT14" s="26">
        <f>FJ14-FB14</f>
        <v>78.6900000000001</v>
      </c>
    </row>
    <row r="15" spans="1:185">
      <c r="A15" s="3" t="s">
        <v>124</v>
      </c>
      <c r="B15" s="3" t="s">
        <v>136</v>
      </c>
      <c r="C15" s="3" t="s">
        <v>135</v>
      </c>
      <c r="D15" s="3">
        <v>363.88</v>
      </c>
      <c r="E15" s="3">
        <f>F15-D15</f>
        <v>14.21</v>
      </c>
      <c r="F15" s="3">
        <v>378.09</v>
      </c>
      <c r="G15" s="3">
        <f>H15-F15</f>
        <v>11.22</v>
      </c>
      <c r="H15" s="3">
        <v>389.31</v>
      </c>
      <c r="I15" s="3">
        <f>J15-H15</f>
        <v>13.62</v>
      </c>
      <c r="J15" s="3">
        <v>402.93</v>
      </c>
      <c r="K15" s="3">
        <f>L15-J15</f>
        <v>11.13</v>
      </c>
      <c r="L15" s="3">
        <v>414.06</v>
      </c>
      <c r="M15" s="3">
        <f>N15-L15</f>
        <v>17.39</v>
      </c>
      <c r="N15" s="3">
        <v>431.45</v>
      </c>
      <c r="O15" s="3">
        <f>P15-N15</f>
        <v>6.32999999999998</v>
      </c>
      <c r="P15" s="3">
        <v>437.78</v>
      </c>
      <c r="Q15" s="3">
        <f>R15-P15</f>
        <v>53.01</v>
      </c>
      <c r="R15" s="3">
        <v>490.79</v>
      </c>
      <c r="S15" s="3">
        <f>T15-R15</f>
        <v>11.82</v>
      </c>
      <c r="T15" s="3">
        <v>502.61</v>
      </c>
      <c r="U15" s="3">
        <f>V15-T15</f>
        <v>19.3099999999999</v>
      </c>
      <c r="V15" s="18">
        <v>521.92</v>
      </c>
      <c r="W15" s="3">
        <f>X15-V15</f>
        <v>29.5400000000001</v>
      </c>
      <c r="X15" s="18">
        <v>551.46</v>
      </c>
      <c r="Y15" s="3">
        <f>Z15-X15</f>
        <v>36.98</v>
      </c>
      <c r="Z15" s="3">
        <v>588.44</v>
      </c>
      <c r="AA15" s="3">
        <f>AB15-Z15</f>
        <v>21.17</v>
      </c>
      <c r="AB15" s="3">
        <v>609.61</v>
      </c>
      <c r="AC15" s="3">
        <f>AD15-AB15</f>
        <v>17.4399999999999</v>
      </c>
      <c r="AD15" s="3">
        <v>627.05</v>
      </c>
      <c r="AE15" s="19">
        <f>AF15-AD15</f>
        <v>21.0500000000001</v>
      </c>
      <c r="AF15" s="19">
        <v>648.1</v>
      </c>
      <c r="AG15" s="19">
        <f>AH15-AF15</f>
        <v>37.27</v>
      </c>
      <c r="AH15" s="19">
        <v>685.37</v>
      </c>
      <c r="AI15" s="19">
        <f>AJ15-AH15</f>
        <v>25.0700000000001</v>
      </c>
      <c r="AJ15" s="19">
        <v>710.44</v>
      </c>
      <c r="AK15" s="19">
        <f>AL15-AJ15</f>
        <v>22.64</v>
      </c>
      <c r="AL15" s="19">
        <v>733.08</v>
      </c>
      <c r="AM15" s="19">
        <f>AN15-AL15</f>
        <v>28.76</v>
      </c>
      <c r="AN15" s="19">
        <v>761.84</v>
      </c>
      <c r="AO15" s="19">
        <f>AP15-AN15</f>
        <v>12.24</v>
      </c>
      <c r="AP15" s="19">
        <v>774.08</v>
      </c>
      <c r="AQ15" s="19">
        <f>AR15-AP15</f>
        <v>29.39</v>
      </c>
      <c r="AR15" s="19">
        <v>803.47</v>
      </c>
      <c r="AS15" s="19">
        <f>AT15-AR15</f>
        <v>33.97</v>
      </c>
      <c r="AT15" s="19">
        <v>837.44</v>
      </c>
      <c r="AU15" s="20">
        <f>AV15-AT15</f>
        <v>29.6999999999999</v>
      </c>
      <c r="AV15" s="20">
        <v>867.14</v>
      </c>
      <c r="AW15" s="21">
        <f>AX15-AV15</f>
        <v>21.75</v>
      </c>
      <c r="AX15" s="21">
        <v>888.89</v>
      </c>
      <c r="AY15" s="21">
        <f>AZ15-AX15</f>
        <v>37.0600000000001</v>
      </c>
      <c r="AZ15" s="21">
        <v>925.95</v>
      </c>
      <c r="BA15" s="21">
        <f>BB15-AZ15</f>
        <v>14.3</v>
      </c>
      <c r="BB15" s="21">
        <v>940.25</v>
      </c>
      <c r="BC15" s="21">
        <f>BD15-BB15</f>
        <v>12.04</v>
      </c>
      <c r="BD15" s="21">
        <v>952.29</v>
      </c>
      <c r="BE15" s="20">
        <f>BF15-BD15</f>
        <v>39.5300000000001</v>
      </c>
      <c r="BF15" s="21">
        <v>991.82</v>
      </c>
      <c r="BG15" s="21">
        <f>BH15-BF15</f>
        <v>38.2599999999999</v>
      </c>
      <c r="BH15" s="21">
        <v>1030.08</v>
      </c>
      <c r="BI15" s="21">
        <f>BJ15-BH15</f>
        <v>35.53</v>
      </c>
      <c r="BJ15" s="21">
        <v>1065.61</v>
      </c>
      <c r="BK15" s="21">
        <f>BL15-BJ15</f>
        <v>36.8300000000002</v>
      </c>
      <c r="BL15" s="21">
        <v>1102.44</v>
      </c>
      <c r="BM15" s="21">
        <f>BN15-BL15</f>
        <v>30.4199999999998</v>
      </c>
      <c r="BN15" s="21">
        <v>1132.86</v>
      </c>
      <c r="BO15" s="21">
        <f>BP15-BN15</f>
        <v>21.5400000000002</v>
      </c>
      <c r="BP15" s="21">
        <v>1154.4</v>
      </c>
      <c r="BQ15" s="21">
        <f>BR15-BP15</f>
        <v>41.52</v>
      </c>
      <c r="BR15" s="21">
        <v>1195.92</v>
      </c>
      <c r="BS15" s="21">
        <f>BT15-BR15</f>
        <v>10.8</v>
      </c>
      <c r="BT15" s="21">
        <v>1206.72</v>
      </c>
      <c r="BU15" s="21">
        <f>BV15-BT15</f>
        <v>13.96</v>
      </c>
      <c r="BV15" s="21">
        <v>1220.68</v>
      </c>
      <c r="BW15" s="21">
        <f>BX15-BV15</f>
        <v>10.74</v>
      </c>
      <c r="BX15" s="21">
        <v>1231.42</v>
      </c>
      <c r="BY15" s="21">
        <f>BZ15-BX15</f>
        <v>28.03</v>
      </c>
      <c r="BZ15" s="21">
        <v>1259.45</v>
      </c>
      <c r="CA15" s="21">
        <f>CB15-BZ15</f>
        <v>47.29</v>
      </c>
      <c r="CB15" s="21">
        <v>1306.74</v>
      </c>
      <c r="CC15" s="21">
        <f>CD15-CB15</f>
        <v>22.47</v>
      </c>
      <c r="CD15" s="21">
        <v>1329.21</v>
      </c>
      <c r="CE15" s="21">
        <f>CF15-CD15</f>
        <v>9.03999999999996</v>
      </c>
      <c r="CF15" s="21">
        <v>1338.25</v>
      </c>
      <c r="CG15" s="21">
        <f>CH15-CF15</f>
        <v>24.3599999999999</v>
      </c>
      <c r="CH15" s="21">
        <v>1362.61</v>
      </c>
      <c r="CI15" s="21">
        <f>CJ15-CH15</f>
        <v>22.9300000000001</v>
      </c>
      <c r="CJ15" s="21">
        <v>1385.54</v>
      </c>
      <c r="CK15" s="21">
        <f>CL15-CJ15</f>
        <v>29.2</v>
      </c>
      <c r="CL15" s="21">
        <v>1414.74</v>
      </c>
      <c r="CM15" s="21">
        <f>CN15-CL15</f>
        <v>13.6700000000001</v>
      </c>
      <c r="CN15" s="21">
        <v>1428.41</v>
      </c>
      <c r="CO15" s="21">
        <f>CP15-CN15</f>
        <v>28.1699999999998</v>
      </c>
      <c r="CP15" s="21">
        <v>1456.58</v>
      </c>
      <c r="CQ15" s="21">
        <f>CR15-CP15</f>
        <v>19.3000000000002</v>
      </c>
      <c r="CR15" s="21">
        <v>1475.88</v>
      </c>
      <c r="CS15" s="21">
        <f>CT15-CR15</f>
        <v>37.8199999999999</v>
      </c>
      <c r="CT15" s="21">
        <v>1513.7</v>
      </c>
      <c r="CU15" s="21">
        <f>CV15-CT15</f>
        <v>16.77</v>
      </c>
      <c r="CV15" s="21">
        <v>1530.47</v>
      </c>
      <c r="CW15" s="20">
        <f>CX15-CV15</f>
        <v>17.99</v>
      </c>
      <c r="CX15" s="21">
        <v>1548.46</v>
      </c>
      <c r="CY15" s="21">
        <f>CZ15-CX15</f>
        <v>13.6399999999999</v>
      </c>
      <c r="CZ15" s="21">
        <v>1562.1</v>
      </c>
      <c r="DA15" s="21">
        <f>DB15-CZ15</f>
        <v>63.24</v>
      </c>
      <c r="DB15" s="21">
        <v>1625.34</v>
      </c>
      <c r="DC15" s="21">
        <f>DD15-DB15</f>
        <v>23.72</v>
      </c>
      <c r="DD15" s="21">
        <v>1649.06</v>
      </c>
      <c r="DE15" s="21">
        <f>DF15-DD15</f>
        <v>10.8099999999999</v>
      </c>
      <c r="DF15" s="21">
        <v>1659.87</v>
      </c>
      <c r="DG15" s="21">
        <f>DH15-DF15</f>
        <v>26.6400000000001</v>
      </c>
      <c r="DH15" s="21">
        <v>1686.51</v>
      </c>
      <c r="DI15" s="21">
        <f>DJ15-DH15</f>
        <v>20.54</v>
      </c>
      <c r="DJ15" s="21">
        <v>1707.05</v>
      </c>
      <c r="DK15" s="21">
        <f>DL15-DJ15</f>
        <v>21.1100000000001</v>
      </c>
      <c r="DL15" s="21">
        <v>1728.16</v>
      </c>
      <c r="DM15" s="21">
        <f>DN15-DL15</f>
        <v>45.05</v>
      </c>
      <c r="DN15" s="21">
        <v>1773.21</v>
      </c>
      <c r="DO15" s="20">
        <f>DP15-DN15</f>
        <v>33.6599999999999</v>
      </c>
      <c r="DP15" s="21">
        <v>1806.87</v>
      </c>
      <c r="DQ15" s="21">
        <f>DR15-DP15</f>
        <v>18.3400000000001</v>
      </c>
      <c r="DR15" s="21">
        <v>1825.21</v>
      </c>
      <c r="DS15" s="21">
        <f>DT15-DR15</f>
        <v>33.3499999999999</v>
      </c>
      <c r="DT15" s="21">
        <v>1858.56</v>
      </c>
      <c r="DU15" s="21">
        <f>DV15-DT15</f>
        <v>33.5</v>
      </c>
      <c r="DV15" s="21">
        <v>1892.06</v>
      </c>
      <c r="DW15" s="21">
        <f>DX15-DV15</f>
        <v>23.9200000000001</v>
      </c>
      <c r="DX15" s="21">
        <v>1915.98</v>
      </c>
      <c r="DY15" s="21">
        <f>DZ15-DX15</f>
        <v>19.04</v>
      </c>
      <c r="DZ15" s="21">
        <v>1935.02</v>
      </c>
      <c r="EA15" s="21">
        <f>EB15-DZ15</f>
        <v>22.23</v>
      </c>
      <c r="EB15" s="21">
        <v>1957.25</v>
      </c>
      <c r="EC15" s="21">
        <f>ED15-EB15</f>
        <v>15.51</v>
      </c>
      <c r="ED15" s="21">
        <v>1972.76</v>
      </c>
      <c r="EE15" s="21">
        <f>EF15-ED15</f>
        <v>11.26</v>
      </c>
      <c r="EF15" s="21">
        <v>1984.02</v>
      </c>
      <c r="EG15" s="21">
        <f>EH15-EF15</f>
        <v>25.0699999999999</v>
      </c>
      <c r="EH15" s="21">
        <v>2009.09</v>
      </c>
      <c r="EI15" s="21">
        <f>EJ15-EH15</f>
        <v>23.4400000000001</v>
      </c>
      <c r="EJ15" s="21">
        <v>2032.53</v>
      </c>
      <c r="EK15" s="21">
        <f>EL15-EJ15</f>
        <v>34.3300000000002</v>
      </c>
      <c r="EL15" s="21">
        <v>2066.86</v>
      </c>
      <c r="EM15" s="21">
        <f>EN15-EL15</f>
        <v>10.48</v>
      </c>
      <c r="EN15" s="21">
        <v>2077.34</v>
      </c>
      <c r="EO15" s="21">
        <f>EP15-EN15</f>
        <v>39.2399999999998</v>
      </c>
      <c r="EP15" s="21">
        <v>2116.58</v>
      </c>
      <c r="EQ15" s="21">
        <f>ER15-EP15</f>
        <v>34.4200000000001</v>
      </c>
      <c r="ER15" s="21">
        <v>2151</v>
      </c>
      <c r="ES15" s="21">
        <f>ET15-ER15</f>
        <v>26.2399999999998</v>
      </c>
      <c r="ET15" s="21">
        <v>2177.24</v>
      </c>
      <c r="EU15" s="21">
        <f>EV15-ET15</f>
        <v>29</v>
      </c>
      <c r="EV15" s="21">
        <v>2206.24</v>
      </c>
      <c r="EW15" s="21">
        <f>EX15-EV15</f>
        <v>13.3000000000002</v>
      </c>
      <c r="EX15" s="21">
        <v>2219.54</v>
      </c>
      <c r="EY15" s="21">
        <f>EZ15-EX15</f>
        <v>25.8099999999999</v>
      </c>
      <c r="EZ15" s="21">
        <v>2245.35</v>
      </c>
      <c r="FA15" s="21">
        <f>FB15-EZ15</f>
        <v>75.3099999999999</v>
      </c>
      <c r="FB15" s="21">
        <v>2320.66</v>
      </c>
      <c r="FC15" s="21">
        <f>FD15-FB15</f>
        <v>102.18</v>
      </c>
      <c r="FD15" s="21">
        <v>2422.84</v>
      </c>
      <c r="FE15" s="21">
        <f>FF15-FD15</f>
        <v>48.3999999999996</v>
      </c>
      <c r="FF15" s="21">
        <v>2471.24</v>
      </c>
      <c r="FG15" s="21">
        <f>FH15-FF15</f>
        <v>58.6400000000003</v>
      </c>
      <c r="FH15" s="20">
        <v>2529.88</v>
      </c>
      <c r="FI15" s="21">
        <f>FJ15-FH15</f>
        <v>39.6500000000001</v>
      </c>
      <c r="FJ15" s="21">
        <v>2569.53</v>
      </c>
      <c r="FK15" s="20" t="s">
        <v>123</v>
      </c>
      <c r="FL15" s="19">
        <v>815.06</v>
      </c>
      <c r="FM15" s="19" t="s">
        <v>123</v>
      </c>
      <c r="FN15" s="19">
        <v>368.34</v>
      </c>
      <c r="FO15" s="3">
        <v>0</v>
      </c>
      <c r="FP15" s="3">
        <v>1</v>
      </c>
      <c r="FQ15" s="3">
        <v>47256</v>
      </c>
      <c r="FR15" s="19">
        <f>2.3635/(FJ15/FL15)</f>
        <v>0.74970687635482</v>
      </c>
      <c r="FS15" s="19">
        <f>BP15-D15</f>
        <v>790.52</v>
      </c>
      <c r="FT15" s="19">
        <f>FJ15-FB15</f>
        <v>248.87</v>
      </c>
    </row>
    <row r="16" spans="1:185">
      <c r="A16" s="3" t="s">
        <v>124</v>
      </c>
      <c r="B16" s="3" t="s">
        <v>137</v>
      </c>
      <c r="C16" s="3" t="s">
        <v>135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18"/>
      <c r="W16" s="3"/>
      <c r="X16" s="18"/>
      <c r="Y16" s="3"/>
      <c r="Z16" s="3"/>
      <c r="AA16" s="3"/>
      <c r="AB16" s="3"/>
      <c r="AC16" s="3"/>
      <c r="AD16" s="3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>
        <v>686.23</v>
      </c>
      <c r="AS16" s="19">
        <f>AT16-AR16</f>
        <v>0</v>
      </c>
      <c r="AT16" s="19">
        <v>686.23</v>
      </c>
      <c r="AU16" s="20">
        <f>AV16-AT16</f>
        <v>33.75</v>
      </c>
      <c r="AV16" s="20">
        <v>719.98</v>
      </c>
      <c r="AW16" s="21">
        <f>AX16-AV16</f>
        <v>24.6999999999999</v>
      </c>
      <c r="AX16" s="21">
        <v>744.68</v>
      </c>
      <c r="AY16" s="21">
        <f>AZ16-AX16</f>
        <v>7.6400000000001</v>
      </c>
      <c r="AZ16" s="21">
        <v>752.32</v>
      </c>
      <c r="BA16" s="21">
        <f>BB16-AZ16</f>
        <v>41.02</v>
      </c>
      <c r="BB16" s="21">
        <v>793.34</v>
      </c>
      <c r="BC16" s="21">
        <f>BD16-BB16</f>
        <v>17.66</v>
      </c>
      <c r="BD16" s="21">
        <v>811</v>
      </c>
      <c r="BE16" s="20">
        <f>BF16-BD16</f>
        <v>6.5</v>
      </c>
      <c r="BF16" s="21">
        <v>817.5</v>
      </c>
      <c r="BG16" s="21">
        <f>BH16-BF16</f>
        <v>13.03</v>
      </c>
      <c r="BH16" s="21">
        <v>830.53</v>
      </c>
      <c r="BI16" s="21">
        <f>BJ16-BH16</f>
        <v>11.5600000000001</v>
      </c>
      <c r="BJ16" s="21">
        <v>842.09</v>
      </c>
      <c r="BK16" s="21">
        <f>BL16-BJ16</f>
        <v>11.9499999999999</v>
      </c>
      <c r="BL16" s="21">
        <v>854.04</v>
      </c>
      <c r="BM16" s="21">
        <f>BN16-BL16</f>
        <v>28.2800000000001</v>
      </c>
      <c r="BN16" s="21">
        <v>882.32</v>
      </c>
      <c r="BO16" s="21">
        <f>BP16-BN16</f>
        <v>15.0799999999999</v>
      </c>
      <c r="BP16" s="21">
        <v>897.4</v>
      </c>
      <c r="BQ16" s="21">
        <f>BR16-BP16</f>
        <v>8.04000000000008</v>
      </c>
      <c r="BR16" s="21">
        <v>905.44</v>
      </c>
      <c r="BS16" s="21">
        <f>BT16-BR16</f>
        <v>35.1899999999999</v>
      </c>
      <c r="BT16" s="21">
        <v>940.63</v>
      </c>
      <c r="BU16" s="21">
        <f>BV16-BT16</f>
        <v>-1.37</v>
      </c>
      <c r="BV16" s="21">
        <v>939.26</v>
      </c>
      <c r="BW16" s="21">
        <f>BX16-BV16</f>
        <v>34.1</v>
      </c>
      <c r="BX16" s="21">
        <v>973.36</v>
      </c>
      <c r="BY16" s="21">
        <f>BZ16-BX16</f>
        <v>16.52</v>
      </c>
      <c r="BZ16" s="21">
        <v>989.88</v>
      </c>
      <c r="CA16" s="21">
        <f>CB16-BZ16</f>
        <v>42.6799999999999</v>
      </c>
      <c r="CB16" s="21">
        <v>1032.56</v>
      </c>
      <c r="CC16" s="21">
        <f>CD16-CB16</f>
        <v>23.6000000000001</v>
      </c>
      <c r="CD16" s="21">
        <v>1056.16</v>
      </c>
      <c r="CE16" s="21">
        <f>CF16-CD16</f>
        <v>7.55999999999995</v>
      </c>
      <c r="CF16" s="21">
        <v>1063.72</v>
      </c>
      <c r="CG16" s="21">
        <f>CH16-CF16</f>
        <v>14.1499999999999</v>
      </c>
      <c r="CH16" s="21">
        <v>1077.87</v>
      </c>
      <c r="CI16" s="21">
        <f>CJ16-CH16</f>
        <v>12.9200000000001</v>
      </c>
      <c r="CJ16" s="21">
        <v>1090.79</v>
      </c>
      <c r="CK16" s="21">
        <f>CL16-CJ16</f>
        <v>14.96</v>
      </c>
      <c r="CL16" s="21">
        <v>1105.75</v>
      </c>
      <c r="CM16" s="21">
        <f>CN16-CL16</f>
        <v>12.6400000000001</v>
      </c>
      <c r="CN16" s="21">
        <v>1118.39</v>
      </c>
      <c r="CO16" s="21">
        <f>CP16-CN16</f>
        <v>15.3399999999999</v>
      </c>
      <c r="CP16" s="21">
        <v>1133.73</v>
      </c>
      <c r="CQ16" s="21">
        <f>CR16-CP16</f>
        <v>21.96</v>
      </c>
      <c r="CR16" s="21">
        <v>1155.69</v>
      </c>
      <c r="CS16" s="21">
        <f>CT16-CR16</f>
        <v>32.4199999999998</v>
      </c>
      <c r="CT16" s="21">
        <v>1188.11</v>
      </c>
      <c r="CU16" s="21">
        <f>CV16-CT16</f>
        <v>12.6300000000001</v>
      </c>
      <c r="CV16" s="21">
        <v>1200.74</v>
      </c>
      <c r="CW16" s="20">
        <f>CX16-CV16</f>
        <v>23.8099999999999</v>
      </c>
      <c r="CX16" s="21">
        <v>1224.55</v>
      </c>
      <c r="CY16" s="21">
        <f>CZ16-CX16</f>
        <v>19.8800000000001</v>
      </c>
      <c r="CZ16" s="21">
        <v>1244.43</v>
      </c>
      <c r="DA16" s="21">
        <f>DB16-CZ16</f>
        <v>15.3199999999999</v>
      </c>
      <c r="DB16" s="21">
        <v>1259.75</v>
      </c>
      <c r="DC16" s="21">
        <f>DD16-DB16</f>
        <v>23.8399999999999</v>
      </c>
      <c r="DD16" s="21">
        <v>1283.59</v>
      </c>
      <c r="DE16" s="21">
        <f>DF16-DD16</f>
        <v>39.6800000000001</v>
      </c>
      <c r="DF16" s="21">
        <v>1323.27</v>
      </c>
      <c r="DG16" s="21">
        <f>DH16-DF16</f>
        <v>13.27</v>
      </c>
      <c r="DH16" s="21">
        <v>1336.54</v>
      </c>
      <c r="DI16" s="21">
        <f>DJ16-DH16</f>
        <v>13.74</v>
      </c>
      <c r="DJ16" s="21">
        <v>1350.28</v>
      </c>
      <c r="DK16" s="21">
        <f>DL16-DJ16</f>
        <v>17.97</v>
      </c>
      <c r="DL16" s="21">
        <v>1368.25</v>
      </c>
      <c r="DM16" s="21">
        <f>DN16-DL16</f>
        <v>19.3800000000001</v>
      </c>
      <c r="DN16" s="21">
        <v>1387.63</v>
      </c>
      <c r="DO16" s="20">
        <f>DP16-DN16</f>
        <v>10.4699999999998</v>
      </c>
      <c r="DP16" s="21">
        <v>1398.1</v>
      </c>
      <c r="DQ16" s="21">
        <f>DR16-DP16</f>
        <v>48.6300000000001</v>
      </c>
      <c r="DR16" s="21">
        <v>1446.73</v>
      </c>
      <c r="DS16" s="21">
        <f>DT16-DR16</f>
        <v>15.5999999999999</v>
      </c>
      <c r="DT16" s="21">
        <v>1462.33</v>
      </c>
      <c r="DU16" s="21">
        <f>DV16-DT16</f>
        <v>56.0800000000002</v>
      </c>
      <c r="DV16" s="21">
        <v>1518.41</v>
      </c>
      <c r="DW16" s="21">
        <f>DX16-DV16</f>
        <v>34.0599999999999</v>
      </c>
      <c r="DX16" s="21">
        <v>1552.47</v>
      </c>
      <c r="DY16" s="21">
        <f>DZ16-DX16</f>
        <v>15.0799999999999</v>
      </c>
      <c r="DZ16" s="21">
        <v>1567.55</v>
      </c>
      <c r="EA16" s="21">
        <f>EB16-DZ16</f>
        <v>10.51</v>
      </c>
      <c r="EB16" s="21">
        <v>1578.06</v>
      </c>
      <c r="EC16" s="21">
        <f>ED16-EB16</f>
        <v>31.3500000000001</v>
      </c>
      <c r="ED16" s="21">
        <v>1609.41</v>
      </c>
      <c r="EE16" s="21">
        <f>EF16-ED16</f>
        <v>13.4199999999998</v>
      </c>
      <c r="EF16" s="21">
        <v>1622.83</v>
      </c>
      <c r="EG16" s="21">
        <f>EH16-EF16</f>
        <v>33.8800000000001</v>
      </c>
      <c r="EH16" s="21">
        <v>1656.71</v>
      </c>
      <c r="EI16" s="21">
        <f>EJ16-EH16</f>
        <v>9.04999999999995</v>
      </c>
      <c r="EJ16" s="21">
        <v>1665.76</v>
      </c>
      <c r="EK16" s="21">
        <f>EL16-EJ16</f>
        <v>41.21</v>
      </c>
      <c r="EL16" s="21">
        <v>1706.97</v>
      </c>
      <c r="EM16" s="21">
        <f>EN16-EL16</f>
        <v>18.49</v>
      </c>
      <c r="EN16" s="21">
        <v>1725.46</v>
      </c>
      <c r="EO16" s="21">
        <f>EP16-EN16</f>
        <v>50.95</v>
      </c>
      <c r="EP16" s="21">
        <v>1776.41</v>
      </c>
      <c r="EQ16" s="21">
        <f>ER16-EP16</f>
        <v>18.5799999999999</v>
      </c>
      <c r="ER16" s="21">
        <v>1794.99</v>
      </c>
      <c r="ES16" s="21">
        <f>ET16-ER16</f>
        <v>-0.589999999999918</v>
      </c>
      <c r="ET16" s="21">
        <v>1794.4</v>
      </c>
      <c r="EU16" s="21">
        <f>EV16-ET16</f>
        <v>11.0899999999999</v>
      </c>
      <c r="EV16" s="21">
        <v>1805.49</v>
      </c>
      <c r="EW16" s="21">
        <f>EX16-EV16</f>
        <v>40.75</v>
      </c>
      <c r="EX16" s="21">
        <v>1846.24</v>
      </c>
      <c r="EY16" s="21">
        <f>EZ16-EX16</f>
        <v>34.23</v>
      </c>
      <c r="EZ16" s="21">
        <v>1880.47</v>
      </c>
      <c r="FA16" s="21">
        <f>FB16-EZ16</f>
        <v>19.03</v>
      </c>
      <c r="FB16" s="21">
        <v>1899.5</v>
      </c>
      <c r="FC16" s="21">
        <f>FD16-FB16</f>
        <v>16.76</v>
      </c>
      <c r="FD16" s="21">
        <v>1916.26</v>
      </c>
      <c r="FE16" s="21">
        <f>FF16-FD16</f>
        <v>63.6500000000001</v>
      </c>
      <c r="FF16" s="21">
        <v>1979.91</v>
      </c>
      <c r="FG16" s="21">
        <f>FH16-FF16</f>
        <v>15.8599999999999</v>
      </c>
      <c r="FH16" s="20">
        <v>1995.77</v>
      </c>
      <c r="FI16" s="21">
        <f>FJ16-FH16</f>
        <v>16.4000000000001</v>
      </c>
      <c r="FJ16" s="21">
        <v>2012.17</v>
      </c>
      <c r="FK16" s="20" t="s">
        <v>138</v>
      </c>
      <c r="FL16" s="19">
        <v>507.09</v>
      </c>
      <c r="FM16" s="19" t="s">
        <v>139</v>
      </c>
      <c r="FN16" s="19">
        <v>148.34</v>
      </c>
      <c r="FO16" s="3"/>
      <c r="FP16" s="3"/>
      <c r="FQ16" s="3"/>
      <c r="FR16" s="19">
        <f>2.3635/(FJ16/FL16)</f>
        <v>0.595629203794908</v>
      </c>
      <c r="FS16" s="19">
        <f>BP16-D16</f>
        <v>897.4</v>
      </c>
      <c r="FT16" s="19">
        <f>FJ16-FB16</f>
        <v>112.67</v>
      </c>
    </row>
    <row r="17" spans="1:176">
      <c r="A17" s="5" t="s">
        <v>140</v>
      </c>
      <c r="B17" s="5" t="s">
        <v>141</v>
      </c>
      <c r="C17" s="5" t="s">
        <v>104</v>
      </c>
      <c r="D17" s="5">
        <v>2533.85</v>
      </c>
      <c r="E17" s="5">
        <f>F17-D17</f>
        <v>50.0500000000002</v>
      </c>
      <c r="F17" s="5">
        <v>2583.9</v>
      </c>
      <c r="G17" s="5">
        <f>H17-F17</f>
        <v>85.7599999999998</v>
      </c>
      <c r="H17" s="5">
        <v>2669.66</v>
      </c>
      <c r="I17" s="5">
        <f>J17-H17</f>
        <v>81.79</v>
      </c>
      <c r="J17" s="5">
        <v>2751.45</v>
      </c>
      <c r="K17" s="5">
        <f>L17-J17</f>
        <v>83.1700000000001</v>
      </c>
      <c r="L17" s="5">
        <v>2834.62</v>
      </c>
      <c r="M17" s="5">
        <f>N17-L17</f>
        <v>56.9900000000002</v>
      </c>
      <c r="N17" s="5">
        <v>2891.61</v>
      </c>
      <c r="O17" s="5">
        <f>P17-N17</f>
        <v>103.98</v>
      </c>
      <c r="P17" s="5">
        <v>2995.59</v>
      </c>
      <c r="Q17" s="5">
        <f>R17-P17</f>
        <v>68.8499999999999</v>
      </c>
      <c r="R17" s="5">
        <v>3064.44</v>
      </c>
      <c r="S17" s="5">
        <f>T17-R17</f>
        <v>47.6100000000001</v>
      </c>
      <c r="T17" s="5">
        <v>3112.05</v>
      </c>
      <c r="U17" s="5">
        <f>V17-T17</f>
        <v>38.1599999999999</v>
      </c>
      <c r="V17" s="22">
        <v>3150.21</v>
      </c>
      <c r="W17" s="5">
        <f>X17-V17</f>
        <v>146.1</v>
      </c>
      <c r="X17" s="22">
        <v>3296.31</v>
      </c>
      <c r="Y17" s="5">
        <f>Z17-X17</f>
        <v>31.9400000000001</v>
      </c>
      <c r="Z17" s="5">
        <v>3328.25</v>
      </c>
      <c r="AA17" s="5">
        <f>AB17-Z17</f>
        <v>79.8800000000001</v>
      </c>
      <c r="AB17" s="5">
        <v>3408.13</v>
      </c>
      <c r="AC17" s="5">
        <f>AD17-AB17</f>
        <v>68.9099999999999</v>
      </c>
      <c r="AD17" s="5">
        <v>3477.04</v>
      </c>
      <c r="AE17" s="9">
        <f>AF17-AD17</f>
        <v>143.74</v>
      </c>
      <c r="AF17" s="9">
        <v>3620.78</v>
      </c>
      <c r="AG17" s="9">
        <f>AH17-AF17</f>
        <v>82.0999999999999</v>
      </c>
      <c r="AH17" s="9">
        <v>3702.88</v>
      </c>
      <c r="AI17" s="9">
        <f>AJ17-AH17</f>
        <v>111.1</v>
      </c>
      <c r="AJ17" s="9">
        <v>3813.98</v>
      </c>
      <c r="AK17" s="9">
        <f>AL17-AJ17</f>
        <v>119.59</v>
      </c>
      <c r="AL17" s="9">
        <v>3933.57</v>
      </c>
      <c r="AM17" s="9">
        <f>AN17-AL17</f>
        <v>39.71</v>
      </c>
      <c r="AN17" s="9">
        <v>3973.28</v>
      </c>
      <c r="AO17" s="9">
        <f>AP17-AN17</f>
        <v>94.1399999999999</v>
      </c>
      <c r="AP17" s="9">
        <v>4067.42</v>
      </c>
      <c r="AQ17" s="9">
        <f>AR17-AP17</f>
        <v>51.1800000000003</v>
      </c>
      <c r="AR17" s="9">
        <v>4118.6</v>
      </c>
      <c r="AS17" s="9">
        <f>AT17-AR17</f>
        <v>33.4499999999998</v>
      </c>
      <c r="AT17" s="9">
        <v>4152.05</v>
      </c>
      <c r="AU17" s="23">
        <f>AV17-AT17</f>
        <v>31.5199999999995</v>
      </c>
      <c r="AV17" s="23">
        <v>4183.57</v>
      </c>
      <c r="AW17" s="24">
        <f>AX17-AV17</f>
        <v>33.7400000000007</v>
      </c>
      <c r="AX17" s="24">
        <v>4217.31</v>
      </c>
      <c r="AY17" s="24">
        <f>AZ17-AX17</f>
        <v>64.8499999999995</v>
      </c>
      <c r="AZ17" s="24">
        <v>4282.16</v>
      </c>
      <c r="BA17" s="24">
        <f>BB17-AZ17</f>
        <v>25.75</v>
      </c>
      <c r="BB17" s="24">
        <v>4307.91</v>
      </c>
      <c r="BC17" s="24">
        <f>BD17-BB17</f>
        <v>42.4400000000005</v>
      </c>
      <c r="BD17" s="24">
        <v>4350.35</v>
      </c>
      <c r="BE17" s="23">
        <f>BF17-BD17</f>
        <v>98.5899999999992</v>
      </c>
      <c r="BF17" s="24">
        <v>4448.94</v>
      </c>
      <c r="BG17" s="24">
        <f>BH17-BF17</f>
        <v>93.3700000000008</v>
      </c>
      <c r="BH17" s="24">
        <v>4542.31</v>
      </c>
      <c r="BI17" s="24">
        <f>BJ17-BH17</f>
        <v>105.799999999999</v>
      </c>
      <c r="BJ17" s="24">
        <v>4648.11</v>
      </c>
      <c r="BK17" s="24">
        <f>BL17-BJ17</f>
        <v>49.4700000000003</v>
      </c>
      <c r="BL17" s="24">
        <v>4697.58</v>
      </c>
      <c r="BM17" s="24">
        <f>BN17-BL17</f>
        <v>57.8599999999997</v>
      </c>
      <c r="BN17" s="24">
        <v>4755.44</v>
      </c>
      <c r="BO17" s="24">
        <f>BP17-BN17</f>
        <v>55.5500000000002</v>
      </c>
      <c r="BP17" s="24">
        <v>4810.99</v>
      </c>
      <c r="BQ17" s="24">
        <f>BR17-BP17</f>
        <v>63.8900000000003</v>
      </c>
      <c r="BR17" s="24">
        <v>4874.88</v>
      </c>
      <c r="BS17" s="24">
        <f>BT17-BR17</f>
        <v>54.25</v>
      </c>
      <c r="BT17" s="24">
        <v>4929.13</v>
      </c>
      <c r="BU17" s="24">
        <f>BV17-BT17</f>
        <v>68.8800000000001</v>
      </c>
      <c r="BV17" s="24">
        <v>4998.01</v>
      </c>
      <c r="BW17" s="24">
        <f>BX17-BV17</f>
        <v>72.1899999999996</v>
      </c>
      <c r="BX17" s="24">
        <v>5070.2</v>
      </c>
      <c r="BY17" s="24">
        <f>BZ17-BX17</f>
        <v>38.8299999999999</v>
      </c>
      <c r="BZ17" s="24">
        <v>5109.03</v>
      </c>
      <c r="CA17" s="24">
        <f>CB17-BZ17</f>
        <v>102.610000000001</v>
      </c>
      <c r="CB17" s="24">
        <v>5211.64</v>
      </c>
      <c r="CC17" s="24">
        <f>CD17-CB17</f>
        <v>59.3199999999997</v>
      </c>
      <c r="CD17" s="24">
        <v>5270.96</v>
      </c>
      <c r="CE17" s="24">
        <f>CF17-CD17</f>
        <v>63.2200000000003</v>
      </c>
      <c r="CF17" s="24">
        <v>5334.18</v>
      </c>
      <c r="CG17" s="24">
        <f>CH17-CF17</f>
        <v>272.25</v>
      </c>
      <c r="CH17" s="24">
        <v>5606.43</v>
      </c>
      <c r="CI17" s="24">
        <f>CJ17-CH17</f>
        <v>78.3599999999997</v>
      </c>
      <c r="CJ17" s="24">
        <v>5684.79</v>
      </c>
      <c r="CK17" s="24">
        <f>CL17-CJ17</f>
        <v>116.21</v>
      </c>
      <c r="CL17" s="24">
        <v>5801</v>
      </c>
      <c r="CM17" s="24">
        <f>CN17-CL17</f>
        <v>62.1700000000001</v>
      </c>
      <c r="CN17" s="24">
        <v>5863.17</v>
      </c>
      <c r="CO17" s="24">
        <f>CP17-CN17</f>
        <v>27.79</v>
      </c>
      <c r="CP17" s="24">
        <v>5890.96</v>
      </c>
      <c r="CQ17" s="24">
        <f>CR17-CP17</f>
        <v>135.12</v>
      </c>
      <c r="CR17" s="24">
        <v>6026.08</v>
      </c>
      <c r="CS17" s="24">
        <f>CT17-CR17</f>
        <v>252.66</v>
      </c>
      <c r="CT17" s="24">
        <v>6278.74</v>
      </c>
      <c r="CU17" s="24">
        <f>CV17-CT17</f>
        <v>96.1400000000003</v>
      </c>
      <c r="CV17" s="24">
        <v>6374.88</v>
      </c>
      <c r="CW17" s="23">
        <f>CX17-CV17</f>
        <v>85.71</v>
      </c>
      <c r="CX17" s="24">
        <v>6460.59</v>
      </c>
      <c r="CY17" s="24">
        <f>CZ17-CX17</f>
        <v>74.0699999999997</v>
      </c>
      <c r="CZ17" s="24">
        <v>6534.66</v>
      </c>
      <c r="DA17" s="24">
        <f>DB17-CZ17</f>
        <v>110.27</v>
      </c>
      <c r="DB17" s="24">
        <v>6644.93</v>
      </c>
      <c r="DC17" s="24">
        <f>DD17-DB17</f>
        <v>95.1599999999999</v>
      </c>
      <c r="DD17" s="24">
        <v>6740.09</v>
      </c>
      <c r="DE17" s="24">
        <f>DF17-DD17</f>
        <v>134.67</v>
      </c>
      <c r="DF17" s="24">
        <v>6874.76</v>
      </c>
      <c r="DG17" s="24">
        <f>DH17-DF17</f>
        <v>-37.1199999999999</v>
      </c>
      <c r="DH17" s="24">
        <v>6837.64</v>
      </c>
      <c r="DI17" s="24">
        <f>DJ17-DH17</f>
        <v>169.32</v>
      </c>
      <c r="DJ17" s="24">
        <v>7006.96</v>
      </c>
      <c r="DK17" s="24">
        <f>DL17-DJ17</f>
        <v>120.26</v>
      </c>
      <c r="DL17" s="24">
        <v>7127.22</v>
      </c>
      <c r="DM17" s="24">
        <f>DN17-DL17</f>
        <v>239.96</v>
      </c>
      <c r="DN17" s="24">
        <v>7367.18</v>
      </c>
      <c r="DO17" s="23">
        <f>DP17-DN17</f>
        <v>-0.0900000000001455</v>
      </c>
      <c r="DP17" s="24">
        <v>7367.09</v>
      </c>
      <c r="DQ17" s="24">
        <f>DR17-DP17</f>
        <v>94.3099999999995</v>
      </c>
      <c r="DR17" s="24">
        <v>7461.4</v>
      </c>
      <c r="DS17" s="24">
        <f>DT17-DR17</f>
        <v>129.72</v>
      </c>
      <c r="DT17" s="24">
        <v>7591.12</v>
      </c>
      <c r="DU17" s="24">
        <f>DV17-DT17</f>
        <v>53.5200000000004</v>
      </c>
      <c r="DV17" s="24">
        <v>7644.64</v>
      </c>
      <c r="DW17" s="24">
        <f>DX17-DV17</f>
        <v>22.3299999999999</v>
      </c>
      <c r="DX17" s="24">
        <v>7666.97</v>
      </c>
      <c r="DY17" s="24">
        <f>DZ17-DX17</f>
        <v>63.7199999999993</v>
      </c>
      <c r="DZ17" s="24">
        <v>7730.69</v>
      </c>
      <c r="EA17" s="24">
        <f>EB17-DZ17</f>
        <v>107.67</v>
      </c>
      <c r="EB17" s="24">
        <v>7838.36</v>
      </c>
      <c r="EC17" s="24">
        <f>ED17-EB17</f>
        <v>63.3299999999999</v>
      </c>
      <c r="ED17" s="24">
        <v>7901.69</v>
      </c>
      <c r="EE17" s="24">
        <f>EF17-ED17</f>
        <v>98.8900000000003</v>
      </c>
      <c r="EF17" s="24">
        <v>8000.58</v>
      </c>
      <c r="EG17" s="24">
        <f>EH17-EF17</f>
        <v>134.14</v>
      </c>
      <c r="EH17" s="24">
        <v>8134.72</v>
      </c>
      <c r="EI17" s="24">
        <f>EJ17-EH17</f>
        <v>87.2499999999991</v>
      </c>
      <c r="EJ17" s="24">
        <v>8221.97</v>
      </c>
      <c r="EK17" s="24">
        <f>EL17-EJ17</f>
        <v>306.200000000001</v>
      </c>
      <c r="EL17" s="24">
        <v>8528.17</v>
      </c>
      <c r="EM17" s="24">
        <f>EN17-EL17</f>
        <v>200.549999999999</v>
      </c>
      <c r="EN17" s="24">
        <v>8728.72</v>
      </c>
      <c r="EO17" s="24">
        <f>EP17-EN17</f>
        <v>68.0400000000009</v>
      </c>
      <c r="EP17" s="24">
        <v>8796.76</v>
      </c>
      <c r="EQ17" s="24">
        <f>ER17-EP17</f>
        <v>202.039999999999</v>
      </c>
      <c r="ER17" s="24">
        <v>8998.8</v>
      </c>
      <c r="ES17" s="24">
        <f>ET17-ER17</f>
        <v>202.59</v>
      </c>
      <c r="ET17" s="24">
        <v>9201.39</v>
      </c>
      <c r="EU17" s="24">
        <f>EV17-ET17</f>
        <v>264.52</v>
      </c>
      <c r="EV17" s="24">
        <v>9465.91</v>
      </c>
      <c r="EW17" s="24">
        <f>EX17-EV17</f>
        <v>50.3600000000006</v>
      </c>
      <c r="EX17" s="24">
        <v>9516.27</v>
      </c>
      <c r="EY17" s="24">
        <f>EZ17-EX17</f>
        <v>119.93</v>
      </c>
      <c r="EZ17" s="24">
        <v>9636.2</v>
      </c>
      <c r="FA17" s="24">
        <f>FB17-EZ17</f>
        <v>87.0999999999985</v>
      </c>
      <c r="FB17" s="24">
        <v>9723.3</v>
      </c>
      <c r="FC17" s="24">
        <f>FD17-FB17</f>
        <v>180.09</v>
      </c>
      <c r="FD17" s="24">
        <v>9903.39</v>
      </c>
      <c r="FE17" s="24">
        <f>FF17-FD17</f>
        <v>173.220000000001</v>
      </c>
      <c r="FF17" s="24">
        <v>10076.61</v>
      </c>
      <c r="FG17" s="24">
        <f>FH17-FF17</f>
        <v>131.039999999999</v>
      </c>
      <c r="FH17" s="23">
        <v>10207.65</v>
      </c>
      <c r="FI17" s="24">
        <f>FJ17-FH17</f>
        <v>47.3999999999996</v>
      </c>
      <c r="FJ17" s="24">
        <v>10255.05</v>
      </c>
      <c r="FK17" s="23" t="s">
        <v>142</v>
      </c>
      <c r="FL17" s="9">
        <v>2488.3</v>
      </c>
      <c r="FM17" s="9" t="s">
        <v>109</v>
      </c>
      <c r="FN17" s="9">
        <v>1010.07</v>
      </c>
      <c r="FO17" s="5">
        <v>200</v>
      </c>
      <c r="FP17" s="5">
        <v>1.6</v>
      </c>
      <c r="FQ17" s="5">
        <v>172501</v>
      </c>
      <c r="FR17" s="9">
        <f>2.3635/(FJ17/FL17)</f>
        <v>0.573483020560602</v>
      </c>
      <c r="FS17" s="9">
        <f>BP17-D17</f>
        <v>2277.14</v>
      </c>
      <c r="FT17" s="9">
        <f>FJ17-FB17</f>
        <v>531.75</v>
      </c>
    </row>
    <row r="18" spans="1:176">
      <c r="A18" s="3" t="s">
        <v>140</v>
      </c>
      <c r="B18" s="3" t="s">
        <v>143</v>
      </c>
      <c r="C18" s="3" t="s">
        <v>135</v>
      </c>
      <c r="D18" s="3">
        <v>552.79</v>
      </c>
      <c r="E18" s="3">
        <f>F18-D18</f>
        <v>15.9400000000001</v>
      </c>
      <c r="F18" s="3">
        <v>568.73</v>
      </c>
      <c r="G18" s="3">
        <f>H18-F18</f>
        <v>1.61000000000001</v>
      </c>
      <c r="H18" s="3">
        <v>570.34</v>
      </c>
      <c r="I18" s="3">
        <f>J18-H18</f>
        <v>7.13999999999999</v>
      </c>
      <c r="J18" s="3">
        <v>577.48</v>
      </c>
      <c r="K18" s="3">
        <f>L18-J18</f>
        <v>2.88999999999999</v>
      </c>
      <c r="L18" s="3">
        <v>580.37</v>
      </c>
      <c r="M18" s="3">
        <f>N18-L18</f>
        <v>2.55999999999995</v>
      </c>
      <c r="N18" s="3">
        <v>582.93</v>
      </c>
      <c r="O18" s="3">
        <f>P18-N18</f>
        <v>24.99</v>
      </c>
      <c r="P18" s="3">
        <v>607.92</v>
      </c>
      <c r="Q18" s="3">
        <f>R18-P18</f>
        <v>0.330000000000041</v>
      </c>
      <c r="R18" s="3">
        <v>608.25</v>
      </c>
      <c r="S18" s="3">
        <f>T18-R18</f>
        <v>1.80999999999995</v>
      </c>
      <c r="T18" s="3">
        <v>610.06</v>
      </c>
      <c r="U18" s="3">
        <f>V18-T18</f>
        <v>0.560000000000059</v>
      </c>
      <c r="V18" s="18">
        <v>610.62</v>
      </c>
      <c r="W18" s="3">
        <f>X18-V18</f>
        <v>3.83000000000004</v>
      </c>
      <c r="X18" s="18">
        <v>614.45</v>
      </c>
      <c r="Y18" s="3">
        <f>Z18-X18</f>
        <v>0.189999999999941</v>
      </c>
      <c r="Z18" s="3">
        <v>614.64</v>
      </c>
      <c r="AA18" s="3">
        <f>AB18-Z18</f>
        <v>0.690000000000055</v>
      </c>
      <c r="AB18" s="3">
        <v>615.33</v>
      </c>
      <c r="AC18" s="3">
        <f>AD18-AB18</f>
        <v>6.64999999999998</v>
      </c>
      <c r="AD18" s="3">
        <v>621.98</v>
      </c>
      <c r="AE18" s="19">
        <f>AF18-AD18</f>
        <v>0</v>
      </c>
      <c r="AF18" s="19">
        <v>621.98</v>
      </c>
      <c r="AG18" s="19">
        <f>AH18-AF18</f>
        <v>13.62</v>
      </c>
      <c r="AH18" s="19">
        <v>635.6</v>
      </c>
      <c r="AI18" s="19">
        <f>AJ18-AH18</f>
        <v>16.48</v>
      </c>
      <c r="AJ18" s="19">
        <v>652.08</v>
      </c>
      <c r="AK18" s="19">
        <f>AL18-AJ18</f>
        <v>5.84999999999991</v>
      </c>
      <c r="AL18" s="19">
        <v>657.93</v>
      </c>
      <c r="AM18" s="19">
        <f>AN18-AL18</f>
        <v>5.80000000000007</v>
      </c>
      <c r="AN18" s="19">
        <v>663.73</v>
      </c>
      <c r="AO18" s="19">
        <f>AP18-AN18</f>
        <v>13.75</v>
      </c>
      <c r="AP18" s="19">
        <v>677.48</v>
      </c>
      <c r="AQ18" s="19">
        <f>AR18-AP18</f>
        <v>3.60000000000002</v>
      </c>
      <c r="AR18" s="19">
        <v>681.08</v>
      </c>
      <c r="AS18" s="19">
        <f>AT18-AR18</f>
        <v>12.0799999999999</v>
      </c>
      <c r="AT18" s="19">
        <v>693.16</v>
      </c>
      <c r="AU18" s="20">
        <f>AV18-AT18</f>
        <v>4.29000000000008</v>
      </c>
      <c r="AV18" s="20">
        <v>697.45</v>
      </c>
      <c r="AW18" s="21">
        <f>AX18-AV18</f>
        <v>1.69999999999993</v>
      </c>
      <c r="AX18" s="21">
        <v>699.15</v>
      </c>
      <c r="AY18" s="21">
        <f>AZ18-AX18</f>
        <v>1.69000000000005</v>
      </c>
      <c r="AZ18" s="21">
        <v>700.84</v>
      </c>
      <c r="BA18" s="21">
        <f>BB18-AZ18</f>
        <v>8.5</v>
      </c>
      <c r="BB18" s="21">
        <v>709.34</v>
      </c>
      <c r="BC18" s="21">
        <f>BD18-BB18</f>
        <v>2.5</v>
      </c>
      <c r="BD18" s="21">
        <v>711.84</v>
      </c>
      <c r="BE18" s="20">
        <f>BF18-BD18</f>
        <v>0</v>
      </c>
      <c r="BF18" s="21">
        <v>711.84</v>
      </c>
      <c r="BG18" s="21">
        <f>BH18-BF18</f>
        <v>5.63999999999999</v>
      </c>
      <c r="BH18" s="21">
        <v>717.48</v>
      </c>
      <c r="BI18" s="21">
        <f>BJ18-BH18</f>
        <v>3.46000000000004</v>
      </c>
      <c r="BJ18" s="21">
        <v>720.94</v>
      </c>
      <c r="BK18" s="21">
        <f>BL18-BJ18</f>
        <v>0.75</v>
      </c>
      <c r="BL18" s="21">
        <v>721.69</v>
      </c>
      <c r="BM18" s="21">
        <f>BN18-BL18</f>
        <v>4.17999999999995</v>
      </c>
      <c r="BN18" s="21">
        <v>725.87</v>
      </c>
      <c r="BO18" s="21">
        <f>BP18-BN18</f>
        <v>1.95000000000005</v>
      </c>
      <c r="BP18" s="21">
        <v>727.82</v>
      </c>
      <c r="BQ18" s="21">
        <f>BR18-BP18</f>
        <v>7.20999999999992</v>
      </c>
      <c r="BR18" s="21">
        <v>735.03</v>
      </c>
      <c r="BS18" s="21">
        <f>BT18-BR18</f>
        <v>0</v>
      </c>
      <c r="BT18" s="21">
        <v>735.03</v>
      </c>
      <c r="BU18" s="21">
        <f>BV18-BT18</f>
        <v>1.37</v>
      </c>
      <c r="BV18" s="21">
        <v>736.4</v>
      </c>
      <c r="BW18" s="21">
        <f>BX18-BV18</f>
        <v>4.48000000000002</v>
      </c>
      <c r="BX18" s="21">
        <v>740.88</v>
      </c>
      <c r="BY18" s="21">
        <f>BZ18-BX18</f>
        <v>0</v>
      </c>
      <c r="BZ18" s="21">
        <v>740.88</v>
      </c>
      <c r="CA18" s="21">
        <f>CB18-BZ18</f>
        <v>0.259999999999991</v>
      </c>
      <c r="CB18" s="21">
        <v>741.14</v>
      </c>
      <c r="CC18" s="21">
        <f>CD18-CB18</f>
        <v>0.610000000000014</v>
      </c>
      <c r="CD18" s="21">
        <v>741.75</v>
      </c>
      <c r="CE18" s="21">
        <f>CF18-CD18</f>
        <v>4.10000000000002</v>
      </c>
      <c r="CF18" s="21">
        <v>745.85</v>
      </c>
      <c r="CG18" s="21">
        <f>CH18-CF18</f>
        <v>13.17</v>
      </c>
      <c r="CH18" s="21">
        <v>759.02</v>
      </c>
      <c r="CI18" s="21">
        <f>CJ18-CH18</f>
        <v>1.38999999999999</v>
      </c>
      <c r="CJ18" s="21">
        <v>760.41</v>
      </c>
      <c r="CK18" s="21">
        <f>CL18-CJ18</f>
        <v>5.99000000000001</v>
      </c>
      <c r="CL18" s="21">
        <v>766.4</v>
      </c>
      <c r="CM18" s="21">
        <f>CN18-CL18</f>
        <v>1.76999999999998</v>
      </c>
      <c r="CN18" s="21">
        <v>768.17</v>
      </c>
      <c r="CO18" s="21">
        <f>CP18-CN18</f>
        <v>0.129999999999995</v>
      </c>
      <c r="CP18" s="21">
        <v>768.3</v>
      </c>
      <c r="CQ18" s="21">
        <f>CR18-CP18</f>
        <v>0.0900000000000318</v>
      </c>
      <c r="CR18" s="21">
        <v>768.39</v>
      </c>
      <c r="CS18" s="21">
        <f>CT18-CR18</f>
        <v>5.5</v>
      </c>
      <c r="CT18" s="21">
        <v>773.89</v>
      </c>
      <c r="CU18" s="21">
        <f>CV18-CT18</f>
        <v>16.8100000000001</v>
      </c>
      <c r="CV18" s="21">
        <v>790.7</v>
      </c>
      <c r="CW18" s="20">
        <f>CX18-CV18</f>
        <v>1.14999999999998</v>
      </c>
      <c r="CX18" s="21">
        <v>791.85</v>
      </c>
      <c r="CY18" s="21">
        <f>CZ18-CX18</f>
        <v>14.1999999999999</v>
      </c>
      <c r="CZ18" s="21">
        <v>806.05</v>
      </c>
      <c r="DA18" s="21">
        <f>DB18-CZ18</f>
        <v>8.29000000000008</v>
      </c>
      <c r="DB18" s="21">
        <v>814.34</v>
      </c>
      <c r="DC18" s="21">
        <f>DD18-DB18</f>
        <v>9.43999999999994</v>
      </c>
      <c r="DD18" s="21">
        <v>823.78</v>
      </c>
      <c r="DE18" s="21">
        <f>DF18-DD18</f>
        <v>3.77999999999997</v>
      </c>
      <c r="DF18" s="21">
        <v>827.56</v>
      </c>
      <c r="DG18" s="21">
        <f>DH18-DF18</f>
        <v>12.59</v>
      </c>
      <c r="DH18" s="21">
        <v>840.15</v>
      </c>
      <c r="DI18" s="21">
        <f>DJ18-DH18</f>
        <v>12.65</v>
      </c>
      <c r="DJ18" s="21">
        <v>852.8</v>
      </c>
      <c r="DK18" s="21">
        <f>DL18-DJ18</f>
        <v>9.09000000000003</v>
      </c>
      <c r="DL18" s="21">
        <v>861.89</v>
      </c>
      <c r="DM18" s="21">
        <f>DN18-DL18</f>
        <v>6.33000000000004</v>
      </c>
      <c r="DN18" s="21">
        <v>868.22</v>
      </c>
      <c r="DO18" s="20">
        <f>DP18-DN18</f>
        <v>9.32999999999993</v>
      </c>
      <c r="DP18" s="21">
        <v>877.55</v>
      </c>
      <c r="DQ18" s="21">
        <f>DR18-DP18</f>
        <v>13.6900000000001</v>
      </c>
      <c r="DR18" s="21">
        <v>891.24</v>
      </c>
      <c r="DS18" s="21">
        <f>DT18-DR18</f>
        <v>5.73000000000002</v>
      </c>
      <c r="DT18" s="21">
        <v>896.97</v>
      </c>
      <c r="DU18" s="21">
        <f>DV18-DT18</f>
        <v>5</v>
      </c>
      <c r="DV18" s="21">
        <v>901.97</v>
      </c>
      <c r="DW18" s="21">
        <f>DX18-DV18</f>
        <v>4.62</v>
      </c>
      <c r="DX18" s="21">
        <v>906.59</v>
      </c>
      <c r="DY18" s="21">
        <f>DZ18-DX18</f>
        <v>24.29</v>
      </c>
      <c r="DZ18" s="21">
        <v>930.88</v>
      </c>
      <c r="EA18" s="21">
        <f>EB18-DZ18</f>
        <v>7.73000000000002</v>
      </c>
      <c r="EB18" s="21">
        <v>938.61</v>
      </c>
      <c r="EC18" s="21">
        <f>ED18-EB18</f>
        <v>8.51999999999998</v>
      </c>
      <c r="ED18" s="21">
        <v>947.13</v>
      </c>
      <c r="EE18" s="21">
        <f>EF18-ED18</f>
        <v>5.41999999999996</v>
      </c>
      <c r="EF18" s="21">
        <v>952.55</v>
      </c>
      <c r="EG18" s="21">
        <f>EH18-EF18</f>
        <v>4.41000000000008</v>
      </c>
      <c r="EH18" s="21">
        <v>956.96</v>
      </c>
      <c r="EI18" s="21">
        <f>EJ18-EH18</f>
        <v>3.56999999999994</v>
      </c>
      <c r="EJ18" s="21">
        <v>960.53</v>
      </c>
      <c r="EK18" s="21">
        <f>EL18-EJ18</f>
        <v>11.35</v>
      </c>
      <c r="EL18" s="21">
        <v>971.88</v>
      </c>
      <c r="EM18" s="21">
        <f>EN18-EL18</f>
        <v>1.25999999999999</v>
      </c>
      <c r="EN18" s="21">
        <v>973.14</v>
      </c>
      <c r="EO18" s="21">
        <f>EP18-EN18</f>
        <v>7.15999999999997</v>
      </c>
      <c r="EP18" s="21">
        <v>980.3</v>
      </c>
      <c r="EQ18" s="21">
        <f>ER18-EP18</f>
        <v>1.87</v>
      </c>
      <c r="ER18" s="21">
        <v>982.17</v>
      </c>
      <c r="ES18" s="21">
        <f>ET18-ER18</f>
        <v>2.03000000000009</v>
      </c>
      <c r="ET18" s="21">
        <v>984.2</v>
      </c>
      <c r="EU18" s="21">
        <f>EV18-ET18</f>
        <v>9.88999999999999</v>
      </c>
      <c r="EV18" s="21">
        <v>994.09</v>
      </c>
      <c r="EW18" s="21">
        <f>EX18-EV18</f>
        <v>0.659999999999968</v>
      </c>
      <c r="EX18" s="21">
        <v>994.75</v>
      </c>
      <c r="EY18" s="21">
        <f>EZ18-EX18</f>
        <v>1.36000000000001</v>
      </c>
      <c r="EZ18" s="21">
        <v>996.11</v>
      </c>
      <c r="FA18" s="21">
        <f>FB18-EZ18</f>
        <v>0.210000000000036</v>
      </c>
      <c r="FB18" s="21">
        <v>996.32</v>
      </c>
      <c r="FC18" s="21">
        <f>FD18-FB18</f>
        <v>5.40999999999997</v>
      </c>
      <c r="FD18" s="21">
        <v>1001.73</v>
      </c>
      <c r="FE18" s="21">
        <f>FF18-FD18</f>
        <v>18.64</v>
      </c>
      <c r="FF18" s="21">
        <v>1020.37</v>
      </c>
      <c r="FG18" s="21">
        <f>FH18-FF18</f>
        <v>1.34000000000003</v>
      </c>
      <c r="FH18" s="20">
        <v>1021.71</v>
      </c>
      <c r="FI18" s="21">
        <f>FJ18-FH18</f>
        <v>38.5599999999999</v>
      </c>
      <c r="FJ18" s="21">
        <v>1060.27</v>
      </c>
      <c r="FK18" s="20" t="s">
        <v>112</v>
      </c>
      <c r="FL18" s="19">
        <v>348.29</v>
      </c>
      <c r="FM18" s="19" t="s">
        <v>123</v>
      </c>
      <c r="FN18" s="19">
        <v>171.75</v>
      </c>
      <c r="FO18" s="3">
        <v>0</v>
      </c>
      <c r="FP18" s="3">
        <v>0.5</v>
      </c>
      <c r="FQ18" s="3">
        <v>49654</v>
      </c>
      <c r="FR18" s="19">
        <f>2.3635/(FJ18/FL18)</f>
        <v>0.776390367547889</v>
      </c>
      <c r="FS18" s="19">
        <f>BP18-D18</f>
        <v>175.03</v>
      </c>
      <c r="FT18" s="19">
        <f>FJ18-FB18</f>
        <v>63.9499999999999</v>
      </c>
    </row>
    <row r="19" spans="1:176">
      <c r="A19" s="8" t="s">
        <v>144</v>
      </c>
      <c r="B19" s="8" t="s">
        <v>145</v>
      </c>
      <c r="C19" s="8" t="s">
        <v>108</v>
      </c>
      <c r="D19" s="8">
        <v>953.78</v>
      </c>
      <c r="E19" s="8">
        <f>F19-D19</f>
        <v>28.97</v>
      </c>
      <c r="F19" s="8">
        <v>982.75</v>
      </c>
      <c r="G19" s="8">
        <f>H19-F19</f>
        <v>83.9300000000001</v>
      </c>
      <c r="H19" s="8">
        <v>1066.68</v>
      </c>
      <c r="I19" s="8">
        <f>J19-H19</f>
        <v>42.8399999999999</v>
      </c>
      <c r="J19" s="8">
        <v>1109.52</v>
      </c>
      <c r="K19" s="8">
        <f>L19-J19</f>
        <v>36.46</v>
      </c>
      <c r="L19" s="8">
        <v>1145.98</v>
      </c>
      <c r="M19" s="8">
        <f>N19-L19</f>
        <v>37.49</v>
      </c>
      <c r="N19" s="8">
        <v>1183.47</v>
      </c>
      <c r="O19" s="8">
        <f>P19-N19</f>
        <v>33.3699999999999</v>
      </c>
      <c r="P19" s="8">
        <v>1216.84</v>
      </c>
      <c r="Q19" s="8">
        <f>R19-P19</f>
        <v>24.8900000000001</v>
      </c>
      <c r="R19" s="8">
        <v>1241.73</v>
      </c>
      <c r="S19" s="8">
        <f>T19-R19</f>
        <v>42.3099999999999</v>
      </c>
      <c r="T19" s="8">
        <v>1284.04</v>
      </c>
      <c r="U19" s="8">
        <f>V19-T19</f>
        <v>44.8400000000001</v>
      </c>
      <c r="V19" s="25">
        <v>1328.88</v>
      </c>
      <c r="W19" s="8">
        <f>X19-V19</f>
        <v>45.9499999999998</v>
      </c>
      <c r="X19" s="25">
        <v>1374.83</v>
      </c>
      <c r="Y19" s="8">
        <f>Z19-X19</f>
        <v>16.4200000000001</v>
      </c>
      <c r="Z19" s="8">
        <v>1391.25</v>
      </c>
      <c r="AA19" s="8">
        <f>AB19-Z19</f>
        <v>22.0699999999999</v>
      </c>
      <c r="AB19" s="8">
        <v>1413.32</v>
      </c>
      <c r="AC19" s="8">
        <f>AD19-AB19</f>
        <v>73.72</v>
      </c>
      <c r="AD19" s="8">
        <v>1487.04</v>
      </c>
      <c r="AE19" s="26">
        <f>AF19-AD19</f>
        <v>48.22</v>
      </c>
      <c r="AF19" s="26">
        <v>1535.26</v>
      </c>
      <c r="AG19" s="26">
        <f>AH19-AF19</f>
        <v>71.02</v>
      </c>
      <c r="AH19" s="26">
        <v>1606.28</v>
      </c>
      <c r="AI19" s="26">
        <f>AJ19-AH19</f>
        <v>28.3</v>
      </c>
      <c r="AJ19" s="26">
        <v>1634.58</v>
      </c>
      <c r="AK19" s="26">
        <f>AL19-AJ19</f>
        <v>36.1500000000001</v>
      </c>
      <c r="AL19" s="26">
        <v>1670.73</v>
      </c>
      <c r="AM19" s="26">
        <f>AN19-AL19</f>
        <v>43.6199999999999</v>
      </c>
      <c r="AN19" s="26">
        <v>1714.35</v>
      </c>
      <c r="AO19" s="26">
        <f>AP19-AN19</f>
        <v>46.1400000000001</v>
      </c>
      <c r="AP19" s="26">
        <v>1760.49</v>
      </c>
      <c r="AQ19" s="26">
        <f>AR19-AP19</f>
        <v>50.98</v>
      </c>
      <c r="AR19" s="26">
        <v>1811.47</v>
      </c>
      <c r="AS19" s="26">
        <f>AT19-AR19</f>
        <v>52.1700000000001</v>
      </c>
      <c r="AT19" s="26">
        <v>1863.64</v>
      </c>
      <c r="AU19" s="27">
        <f>AV19-AT19</f>
        <v>37.7199999999998</v>
      </c>
      <c r="AV19" s="27">
        <v>1901.36</v>
      </c>
      <c r="AW19" s="28">
        <f>AX19-AV19</f>
        <v>33.4300000000001</v>
      </c>
      <c r="AX19" s="28">
        <v>1934.79</v>
      </c>
      <c r="AY19" s="28">
        <f>AZ19-AX19</f>
        <v>20.3199999999999</v>
      </c>
      <c r="AZ19" s="28">
        <v>1955.11</v>
      </c>
      <c r="BA19" s="28">
        <f>BB19-AZ19</f>
        <v>28.1200000000001</v>
      </c>
      <c r="BB19" s="28">
        <v>1983.23</v>
      </c>
      <c r="BC19" s="28">
        <f>BD19-BB19</f>
        <v>21.6700000000001</v>
      </c>
      <c r="BD19" s="28">
        <v>2004.9</v>
      </c>
      <c r="BE19" s="27">
        <f>BF19-BD19</f>
        <v>57.4699999999998</v>
      </c>
      <c r="BF19" s="28">
        <v>2062.37</v>
      </c>
      <c r="BG19" s="28">
        <f>BH19-BF19</f>
        <v>33.2200000000003</v>
      </c>
      <c r="BH19" s="28">
        <v>2095.59</v>
      </c>
      <c r="BI19" s="28">
        <f>BJ19-BH19</f>
        <v>59.25</v>
      </c>
      <c r="BJ19" s="28">
        <v>2154.84</v>
      </c>
      <c r="BK19" s="28">
        <f>BL19-BJ19</f>
        <v>70.2599999999998</v>
      </c>
      <c r="BL19" s="28">
        <v>2225.1</v>
      </c>
      <c r="BM19" s="28">
        <f>BN19-BL19</f>
        <v>139.75</v>
      </c>
      <c r="BN19" s="28">
        <v>2364.85</v>
      </c>
      <c r="BO19" s="28">
        <f>BP19-BN19</f>
        <v>35.1900000000001</v>
      </c>
      <c r="BP19" s="28">
        <v>2400.04</v>
      </c>
      <c r="BQ19" s="28">
        <f>BR19-BP19</f>
        <v>38.2600000000002</v>
      </c>
      <c r="BR19" s="28">
        <v>2438.3</v>
      </c>
      <c r="BS19" s="28">
        <f>BT19-BR19</f>
        <v>42.98</v>
      </c>
      <c r="BT19" s="28">
        <v>2481.28</v>
      </c>
      <c r="BU19" s="28">
        <f>BV19-BT19</f>
        <v>33.7399999999998</v>
      </c>
      <c r="BV19" s="28">
        <v>2515.02</v>
      </c>
      <c r="BW19" s="28">
        <f>BX19-BV19</f>
        <v>14.29</v>
      </c>
      <c r="BX19" s="28">
        <v>2529.31</v>
      </c>
      <c r="BY19" s="28">
        <f>BZ19-BX19</f>
        <v>39.4500000000003</v>
      </c>
      <c r="BZ19" s="28">
        <v>2568.76</v>
      </c>
      <c r="CA19" s="28">
        <f>CB19-BZ19</f>
        <v>59.2299999999996</v>
      </c>
      <c r="CB19" s="28">
        <v>2627.99</v>
      </c>
      <c r="CC19" s="28">
        <f>CD19-CB19</f>
        <v>30.2800000000002</v>
      </c>
      <c r="CD19" s="28">
        <v>2658.27</v>
      </c>
      <c r="CE19" s="28">
        <f>CF19-CD19</f>
        <v>18.6500000000001</v>
      </c>
      <c r="CF19" s="28">
        <v>2676.92</v>
      </c>
      <c r="CG19" s="28">
        <f>CH19-CF19</f>
        <v>29.1300000000001</v>
      </c>
      <c r="CH19" s="28">
        <v>2706.05</v>
      </c>
      <c r="CI19" s="28">
        <f>CJ19-CH19</f>
        <v>27.7599999999998</v>
      </c>
      <c r="CJ19" s="28">
        <v>2733.81</v>
      </c>
      <c r="CK19" s="28">
        <f>CL19-CJ19</f>
        <v>69.4400000000001</v>
      </c>
      <c r="CL19" s="28">
        <v>2803.25</v>
      </c>
      <c r="CM19" s="28">
        <f>CN19-CL19</f>
        <v>25.6300000000001</v>
      </c>
      <c r="CN19" s="28">
        <v>2828.88</v>
      </c>
      <c r="CO19" s="28">
        <f>CP19-CN19</f>
        <v>44.1300000000001</v>
      </c>
      <c r="CP19" s="28">
        <v>2873.01</v>
      </c>
      <c r="CQ19" s="28">
        <f>CR19-CP19</f>
        <v>32.6899999999996</v>
      </c>
      <c r="CR19" s="28">
        <v>2905.7</v>
      </c>
      <c r="CS19" s="28">
        <f>CT19-CR19</f>
        <v>66.6600000000003</v>
      </c>
      <c r="CT19" s="28">
        <v>2972.36</v>
      </c>
      <c r="CU19" s="28">
        <f>CV19-CT19</f>
        <v>52.7599999999998</v>
      </c>
      <c r="CV19" s="28">
        <v>3025.12</v>
      </c>
      <c r="CW19" s="27">
        <f>CX19-CV19</f>
        <v>50.71</v>
      </c>
      <c r="CX19" s="28">
        <v>3075.83</v>
      </c>
      <c r="CY19" s="28">
        <f>CZ19-CX19</f>
        <v>27.77</v>
      </c>
      <c r="CZ19" s="28">
        <v>3103.6</v>
      </c>
      <c r="DA19" s="28">
        <f>DB19-CZ19</f>
        <v>40.9900000000002</v>
      </c>
      <c r="DB19" s="28">
        <v>3144.59</v>
      </c>
      <c r="DC19" s="28">
        <f>DD19-DB19</f>
        <v>57.1900000000001</v>
      </c>
      <c r="DD19" s="28">
        <v>3201.78</v>
      </c>
      <c r="DE19" s="28">
        <f>DF19-DD19</f>
        <v>49.6399999999999</v>
      </c>
      <c r="DF19" s="28">
        <v>3251.42</v>
      </c>
      <c r="DG19" s="28">
        <f>DH19-DF19</f>
        <v>18.0299999999997</v>
      </c>
      <c r="DH19" s="28">
        <v>3269.45</v>
      </c>
      <c r="DI19" s="28">
        <f>DJ19-DH19</f>
        <v>42.8200000000002</v>
      </c>
      <c r="DJ19" s="28">
        <v>3312.27</v>
      </c>
      <c r="DK19" s="28">
        <f>DL19-DJ19</f>
        <v>19.2400000000002</v>
      </c>
      <c r="DL19" s="28">
        <v>3331.51</v>
      </c>
      <c r="DM19" s="28">
        <f>DN19-DL19</f>
        <v>36.2799999999997</v>
      </c>
      <c r="DN19" s="28">
        <v>3367.79</v>
      </c>
      <c r="DO19" s="27">
        <f>DP19-DN19</f>
        <v>81.3400000000001</v>
      </c>
      <c r="DP19" s="28">
        <v>3449.13</v>
      </c>
      <c r="DQ19" s="28">
        <f>DR19-DP19</f>
        <v>39.6500000000001</v>
      </c>
      <c r="DR19" s="28">
        <v>3488.78</v>
      </c>
      <c r="DS19" s="28">
        <f>DT19-DR19</f>
        <v>26.1299999999997</v>
      </c>
      <c r="DT19" s="28">
        <v>3514.91</v>
      </c>
      <c r="DU19" s="28">
        <f>DV19-DT19</f>
        <v>30.3700000000003</v>
      </c>
      <c r="DV19" s="28">
        <v>3545.28</v>
      </c>
      <c r="DW19" s="28">
        <f>DX19-DV19</f>
        <v>38.1399999999999</v>
      </c>
      <c r="DX19" s="28">
        <v>3583.42</v>
      </c>
      <c r="DY19" s="28">
        <f>DZ19-DX19</f>
        <v>63.5900000000001</v>
      </c>
      <c r="DZ19" s="28">
        <v>3647.01</v>
      </c>
      <c r="EA19" s="28">
        <f>EB19-DZ19</f>
        <v>24.9799999999996</v>
      </c>
      <c r="EB19" s="28">
        <v>3671.99</v>
      </c>
      <c r="EC19" s="28">
        <f>ED19-EB19</f>
        <v>67.6000000000004</v>
      </c>
      <c r="ED19" s="28">
        <v>3739.59</v>
      </c>
      <c r="EE19" s="28">
        <f>EF19-ED19</f>
        <v>52.2999999999997</v>
      </c>
      <c r="EF19" s="28">
        <v>3791.89</v>
      </c>
      <c r="EG19" s="28">
        <f>EH19-EF19</f>
        <v>29.2800000000002</v>
      </c>
      <c r="EH19" s="28">
        <v>3821.17</v>
      </c>
      <c r="EI19" s="28">
        <f>EJ19-EH19</f>
        <v>42.04</v>
      </c>
      <c r="EJ19" s="28">
        <v>3863.21</v>
      </c>
      <c r="EK19" s="28">
        <f>EL19-EJ19</f>
        <v>75.0599999999999</v>
      </c>
      <c r="EL19" s="28">
        <v>3938.27</v>
      </c>
      <c r="EM19" s="28">
        <f>EN19-EL19</f>
        <v>6.4699999999998</v>
      </c>
      <c r="EN19" s="28">
        <v>3944.74</v>
      </c>
      <c r="EO19" s="28">
        <f>EP19-EN19</f>
        <v>1.0600000000004</v>
      </c>
      <c r="EP19" s="28">
        <v>3945.8</v>
      </c>
      <c r="EQ19" s="28">
        <f>ER19-EP19</f>
        <v>116.43</v>
      </c>
      <c r="ER19" s="28">
        <v>4062.23</v>
      </c>
      <c r="ES19" s="28">
        <f>ET19-ER19</f>
        <v>38.3300000000004</v>
      </c>
      <c r="ET19" s="28">
        <v>4100.56</v>
      </c>
      <c r="EU19" s="28">
        <f>EV19-ET19</f>
        <v>29.2999999999993</v>
      </c>
      <c r="EV19" s="28">
        <v>4129.86</v>
      </c>
      <c r="EW19" s="28">
        <f>EX19-EV19</f>
        <v>95.2600000000002</v>
      </c>
      <c r="EX19" s="28">
        <v>4225.12</v>
      </c>
      <c r="EY19" s="28">
        <f>EZ19-EX19</f>
        <v>38.2200000000003</v>
      </c>
      <c r="EZ19" s="28">
        <v>4263.34</v>
      </c>
      <c r="FA19" s="28">
        <f>FB19-EZ19</f>
        <v>55.2600000000002</v>
      </c>
      <c r="FB19" s="28">
        <v>4318.6</v>
      </c>
      <c r="FC19" s="28">
        <f>FD19-FB19</f>
        <v>30.6299999999992</v>
      </c>
      <c r="FD19" s="28">
        <v>4349.23</v>
      </c>
      <c r="FE19" s="28">
        <f>FF19-FD19</f>
        <v>40.4000000000005</v>
      </c>
      <c r="FF19" s="28">
        <v>4389.63</v>
      </c>
      <c r="FG19" s="28">
        <f>FH19-FF19</f>
        <v>33.25</v>
      </c>
      <c r="FH19" s="27">
        <v>4422.88</v>
      </c>
      <c r="FI19" s="28">
        <f>FJ19-FH19</f>
        <v>31.9899999999998</v>
      </c>
      <c r="FJ19" s="28">
        <v>4454.87</v>
      </c>
      <c r="FK19" s="27" t="s">
        <v>109</v>
      </c>
      <c r="FL19" s="26">
        <v>1926.37</v>
      </c>
      <c r="FM19" s="26" t="s">
        <v>110</v>
      </c>
      <c r="FN19" s="26">
        <v>758.25</v>
      </c>
      <c r="FO19" s="8">
        <v>30</v>
      </c>
      <c r="FP19" s="8">
        <v>1</v>
      </c>
      <c r="FQ19" s="8">
        <v>105419</v>
      </c>
      <c r="FR19" s="26">
        <f>2.3635/(FJ19/FL19)</f>
        <v>1.02202207808533</v>
      </c>
      <c r="FS19" s="26">
        <f>BP19-D19</f>
        <v>1446.26</v>
      </c>
      <c r="FT19" s="26">
        <f>FJ19-FB19</f>
        <v>136.27</v>
      </c>
    </row>
    <row r="20" spans="1:176">
      <c r="A20" s="1" t="s">
        <v>146</v>
      </c>
      <c r="B20" s="1" t="s">
        <v>147</v>
      </c>
      <c r="C20" s="1" t="s">
        <v>129</v>
      </c>
      <c r="D20" s="1">
        <v>1735.94</v>
      </c>
      <c r="E20" s="1">
        <f>F20-D20</f>
        <v>48.5999999999999</v>
      </c>
      <c r="F20" s="1">
        <v>1784.54</v>
      </c>
      <c r="G20" s="1">
        <f>H20-F20</f>
        <v>74.1600000000001</v>
      </c>
      <c r="H20" s="1">
        <v>1858.7</v>
      </c>
      <c r="I20" s="1">
        <f>J20-H20</f>
        <v>65.55</v>
      </c>
      <c r="J20" s="1">
        <v>1924.25</v>
      </c>
      <c r="K20" s="1">
        <f>L20-J20</f>
        <v>35.73</v>
      </c>
      <c r="L20" s="1">
        <v>1959.98</v>
      </c>
      <c r="M20" s="1">
        <f>N20-L20</f>
        <v>41.8799999999999</v>
      </c>
      <c r="N20" s="1">
        <v>2001.86</v>
      </c>
      <c r="O20" s="1">
        <f>P20-N20</f>
        <v>74.6600000000001</v>
      </c>
      <c r="P20" s="1">
        <v>2076.52</v>
      </c>
      <c r="Q20" s="1">
        <f>R20-P20</f>
        <v>48.71</v>
      </c>
      <c r="R20" s="1">
        <v>2125.23</v>
      </c>
      <c r="S20" s="1">
        <f>T20-R20</f>
        <v>57.4200000000001</v>
      </c>
      <c r="T20" s="1">
        <v>2182.65</v>
      </c>
      <c r="U20" s="1">
        <f>V20-T20</f>
        <v>68.9400000000001</v>
      </c>
      <c r="V20" s="10">
        <v>2251.59</v>
      </c>
      <c r="W20" s="1">
        <f>X20-V20</f>
        <v>72.0299999999997</v>
      </c>
      <c r="X20" s="10">
        <v>2323.62</v>
      </c>
      <c r="Y20" s="1">
        <f>Z20-X20</f>
        <v>23.6300000000001</v>
      </c>
      <c r="Z20" s="1">
        <v>2347.25</v>
      </c>
      <c r="AA20" s="1">
        <f>AB20-Z20</f>
        <v>64.5300000000002</v>
      </c>
      <c r="AB20" s="1">
        <v>2411.78</v>
      </c>
      <c r="AC20" s="1">
        <f>AD20-AB20</f>
        <v>30.2599999999998</v>
      </c>
      <c r="AD20" s="1">
        <v>2442.04</v>
      </c>
      <c r="AE20" s="11">
        <f>AF20-AD20</f>
        <v>104.94</v>
      </c>
      <c r="AF20" s="11">
        <v>2546.98</v>
      </c>
      <c r="AG20" s="11">
        <f>AH20-AF20</f>
        <v>38.04</v>
      </c>
      <c r="AH20" s="11">
        <v>2585.02</v>
      </c>
      <c r="AI20" s="11">
        <f>AJ20-AH20</f>
        <v>96.6999999999998</v>
      </c>
      <c r="AJ20" s="11">
        <v>2681.72</v>
      </c>
      <c r="AK20" s="11">
        <f>AL20-AJ20</f>
        <v>66.25</v>
      </c>
      <c r="AL20" s="11">
        <v>2747.97</v>
      </c>
      <c r="AM20" s="11">
        <f>AN20-AL20</f>
        <v>75.9900000000002</v>
      </c>
      <c r="AN20" s="11">
        <v>2823.96</v>
      </c>
      <c r="AO20" s="11">
        <f>AP20-AN20</f>
        <v>50.5</v>
      </c>
      <c r="AP20" s="11">
        <v>2874.46</v>
      </c>
      <c r="AQ20" s="11">
        <f>AR20-AP20</f>
        <v>48.75</v>
      </c>
      <c r="AR20" s="11">
        <v>2923.21</v>
      </c>
      <c r="AS20" s="11">
        <f>AT20-AR20</f>
        <v>48.6399999999999</v>
      </c>
      <c r="AT20" s="11">
        <v>2971.85</v>
      </c>
      <c r="AU20" s="12">
        <f>AV20-AT20</f>
        <v>75.46</v>
      </c>
      <c r="AV20" s="12">
        <v>3047.31</v>
      </c>
      <c r="AW20" s="13">
        <f>AX20-AV20</f>
        <v>81.1599999999999</v>
      </c>
      <c r="AX20" s="13">
        <v>3128.47</v>
      </c>
      <c r="AY20" s="13">
        <f>AZ20-AX20</f>
        <v>52.8700000000003</v>
      </c>
      <c r="AZ20" s="13">
        <v>3181.34</v>
      </c>
      <c r="BA20" s="13">
        <f>BB20-AZ20</f>
        <v>65.5899999999997</v>
      </c>
      <c r="BB20" s="13">
        <v>3246.93</v>
      </c>
      <c r="BC20" s="13">
        <f>BD20-BB20</f>
        <v>50.3800000000001</v>
      </c>
      <c r="BD20" s="13">
        <v>3297.31</v>
      </c>
      <c r="BE20" s="12">
        <f>BF20-BD20</f>
        <v>85.7800000000002</v>
      </c>
      <c r="BF20" s="13">
        <v>3383.09</v>
      </c>
      <c r="BG20" s="13">
        <f>BH20-BF20</f>
        <v>41.6399999999999</v>
      </c>
      <c r="BH20" s="13">
        <v>3424.73</v>
      </c>
      <c r="BI20" s="13">
        <f>BJ20-BH20</f>
        <v>54.73</v>
      </c>
      <c r="BJ20" s="13">
        <v>3479.46</v>
      </c>
      <c r="BK20" s="13">
        <f>BL20-BJ20</f>
        <v>94.9299999999998</v>
      </c>
      <c r="BL20" s="13">
        <v>3574.39</v>
      </c>
      <c r="BM20" s="13">
        <f>BN20-BL20</f>
        <v>44.52</v>
      </c>
      <c r="BN20" s="13">
        <v>3618.91</v>
      </c>
      <c r="BO20" s="13">
        <f>BP20-BN20</f>
        <v>61.5500000000002</v>
      </c>
      <c r="BP20" s="13">
        <v>3680.46</v>
      </c>
      <c r="BQ20" s="13">
        <f>BR20-BP20</f>
        <v>71.6100000000001</v>
      </c>
      <c r="BR20" s="13">
        <v>3752.07</v>
      </c>
      <c r="BS20" s="13">
        <f>BT20-BR20</f>
        <v>90.6699999999996</v>
      </c>
      <c r="BT20" s="13">
        <v>3842.74</v>
      </c>
      <c r="BU20" s="13">
        <f>BV20-BT20</f>
        <v>-22.04</v>
      </c>
      <c r="BV20" s="13">
        <v>3820.7</v>
      </c>
      <c r="BW20" s="13">
        <f>BX20-BV20</f>
        <v>108.59</v>
      </c>
      <c r="BX20" s="13">
        <v>3929.29</v>
      </c>
      <c r="BY20" s="13">
        <f>BZ20-BX20</f>
        <v>39.0799999999999</v>
      </c>
      <c r="BZ20" s="13">
        <v>3968.37</v>
      </c>
      <c r="CA20" s="13">
        <f>CB20-BZ20</f>
        <v>78.1700000000001</v>
      </c>
      <c r="CB20" s="13">
        <v>4046.54</v>
      </c>
      <c r="CC20" s="13">
        <f>CD20-CB20</f>
        <v>77.5200000000004</v>
      </c>
      <c r="CD20" s="13">
        <v>4124.06</v>
      </c>
      <c r="CE20" s="13">
        <f>CF20-CD20</f>
        <v>57.21</v>
      </c>
      <c r="CF20" s="13">
        <v>4181.27</v>
      </c>
      <c r="CG20" s="13">
        <f>CH20-CF20</f>
        <v>110.4</v>
      </c>
      <c r="CH20" s="13">
        <v>4291.67</v>
      </c>
      <c r="CI20" s="13">
        <f>CJ20-CH20</f>
        <v>40.1199999999999</v>
      </c>
      <c r="CJ20" s="13">
        <v>4331.79</v>
      </c>
      <c r="CK20" s="13">
        <f>CL20-CJ20</f>
        <v>63.8900000000003</v>
      </c>
      <c r="CL20" s="13">
        <v>4395.68</v>
      </c>
      <c r="CM20" s="13">
        <f>CN20-CL20</f>
        <v>23.2699999999995</v>
      </c>
      <c r="CN20" s="13">
        <v>4418.95</v>
      </c>
      <c r="CO20" s="13">
        <f>CP20-CN20</f>
        <v>78.54</v>
      </c>
      <c r="CP20" s="13">
        <v>4497.49</v>
      </c>
      <c r="CQ20" s="13">
        <f>CR20-CP20</f>
        <v>80.0700000000006</v>
      </c>
      <c r="CR20" s="13">
        <v>4577.56</v>
      </c>
      <c r="CS20" s="13">
        <f>CT20-CR20</f>
        <v>69.2599999999993</v>
      </c>
      <c r="CT20" s="13">
        <v>4646.82</v>
      </c>
      <c r="CU20" s="13">
        <f>CV20-CT20</f>
        <v>104.66</v>
      </c>
      <c r="CV20" s="13">
        <v>4751.48</v>
      </c>
      <c r="CW20" s="12">
        <f>CX20-CV20</f>
        <v>85.9400000000005</v>
      </c>
      <c r="CX20" s="13">
        <v>4837.42</v>
      </c>
      <c r="CY20" s="13">
        <f>CZ20-CX20</f>
        <v>39.4099999999999</v>
      </c>
      <c r="CZ20" s="13">
        <v>4876.83</v>
      </c>
      <c r="DA20" s="13">
        <f>DB20-CZ20</f>
        <v>38.7399999999998</v>
      </c>
      <c r="DB20" s="13">
        <v>4915.57</v>
      </c>
      <c r="DC20" s="13">
        <f>DD20-DB20</f>
        <v>74.3000000000002</v>
      </c>
      <c r="DD20" s="13">
        <v>4989.87</v>
      </c>
      <c r="DE20" s="13">
        <f>DF20-DD20</f>
        <v>77.4499999999998</v>
      </c>
      <c r="DF20" s="13">
        <v>5067.32</v>
      </c>
      <c r="DG20" s="13">
        <f>DH20-DF20</f>
        <v>32.0900000000001</v>
      </c>
      <c r="DH20" s="13">
        <v>5099.41</v>
      </c>
      <c r="DI20" s="13">
        <f>DJ20-DH20</f>
        <v>86.7200000000003</v>
      </c>
      <c r="DJ20" s="13">
        <v>5186.13</v>
      </c>
      <c r="DK20" s="13">
        <f>DL20-DJ20</f>
        <v>47.21</v>
      </c>
      <c r="DL20" s="13">
        <v>5233.34</v>
      </c>
      <c r="DM20" s="13">
        <f>DN20-DL20</f>
        <v>106.75</v>
      </c>
      <c r="DN20" s="13">
        <v>5340.09</v>
      </c>
      <c r="DO20" s="12">
        <f>DP20-DN20</f>
        <v>28.7299999999996</v>
      </c>
      <c r="DP20" s="13">
        <v>5368.82</v>
      </c>
      <c r="DQ20" s="13">
        <f>DR20-DP20</f>
        <v>29.4900000000007</v>
      </c>
      <c r="DR20" s="13">
        <v>5398.31</v>
      </c>
      <c r="DS20" s="13">
        <f>DT20-DR20</f>
        <v>52.2699999999995</v>
      </c>
      <c r="DT20" s="13">
        <v>5450.58</v>
      </c>
      <c r="DU20" s="13">
        <f>DV20-DT20</f>
        <v>42.3900000000003</v>
      </c>
      <c r="DV20" s="13">
        <v>5492.97</v>
      </c>
      <c r="DW20" s="13">
        <f>DX20-DV20</f>
        <v>135.57</v>
      </c>
      <c r="DX20" s="13">
        <v>5628.54</v>
      </c>
      <c r="DY20" s="13">
        <f>DZ20-DX20</f>
        <v>60.3100000000004</v>
      </c>
      <c r="DZ20" s="13">
        <v>5688.85</v>
      </c>
      <c r="EA20" s="13">
        <f>EB20-DZ20</f>
        <v>102.57</v>
      </c>
      <c r="EB20" s="13">
        <v>5791.42</v>
      </c>
      <c r="EC20" s="13">
        <f>ED20-EB20</f>
        <v>72.5799999999999</v>
      </c>
      <c r="ED20" s="13">
        <v>5864</v>
      </c>
      <c r="EE20" s="13">
        <f>EF20-ED20</f>
        <v>70.3500000000004</v>
      </c>
      <c r="EF20" s="13">
        <v>5934.35</v>
      </c>
      <c r="EG20" s="13">
        <f>EH20-EF20</f>
        <v>66.1999999999998</v>
      </c>
      <c r="EH20" s="13">
        <v>6000.55</v>
      </c>
      <c r="EI20" s="13">
        <f>EJ20-EH20</f>
        <v>79.3000000000002</v>
      </c>
      <c r="EJ20" s="13">
        <v>6079.85</v>
      </c>
      <c r="EK20" s="13">
        <f>EL20-EJ20</f>
        <v>51.1199999999999</v>
      </c>
      <c r="EL20" s="13">
        <v>6130.97</v>
      </c>
      <c r="EM20" s="13">
        <f>EN20-EL20</f>
        <v>53.3099999999995</v>
      </c>
      <c r="EN20" s="13">
        <v>6184.28</v>
      </c>
      <c r="EO20" s="13">
        <f>EP20-EN20</f>
        <v>70.9499999999998</v>
      </c>
      <c r="EP20" s="13">
        <v>6255.23</v>
      </c>
      <c r="EQ20" s="13">
        <f>ER20-EP20</f>
        <v>81.3900000000003</v>
      </c>
      <c r="ER20" s="13">
        <v>6336.62</v>
      </c>
      <c r="ES20" s="13">
        <f>ET20-ER20</f>
        <v>77.1000000000004</v>
      </c>
      <c r="ET20" s="13">
        <v>6413.72</v>
      </c>
      <c r="EU20" s="13">
        <f>EV20-ET20</f>
        <v>107.98</v>
      </c>
      <c r="EV20" s="13">
        <v>6521.7</v>
      </c>
      <c r="EW20" s="13">
        <f>EX20-EV20</f>
        <v>27.4899999999998</v>
      </c>
      <c r="EX20" s="13">
        <v>6549.19</v>
      </c>
      <c r="EY20" s="13">
        <f>EZ20-EX20</f>
        <v>43.4800000000005</v>
      </c>
      <c r="EZ20" s="13">
        <v>6592.67</v>
      </c>
      <c r="FA20" s="13">
        <f>FB20-EZ20</f>
        <v>-64.7799999999997</v>
      </c>
      <c r="FB20" s="13">
        <v>6527.89</v>
      </c>
      <c r="FC20" s="13">
        <f>FD20-FB20</f>
        <v>147.82</v>
      </c>
      <c r="FD20" s="13">
        <v>6675.71</v>
      </c>
      <c r="FE20" s="13">
        <f>FF20-FD20</f>
        <v>34.9200000000001</v>
      </c>
      <c r="FF20" s="13">
        <v>6710.63</v>
      </c>
      <c r="FG20" s="13">
        <f>FH20-FF20</f>
        <v>80.54</v>
      </c>
      <c r="FH20" s="12">
        <v>6791.17</v>
      </c>
      <c r="FI20" s="13">
        <f>FJ20-FH20</f>
        <v>73.8299999999999</v>
      </c>
      <c r="FJ20" s="13">
        <v>6865</v>
      </c>
      <c r="FK20" s="12" t="s">
        <v>119</v>
      </c>
      <c r="FL20" s="11">
        <v>2093.92</v>
      </c>
      <c r="FM20" s="11" t="s">
        <v>148</v>
      </c>
      <c r="FN20" s="11">
        <v>824.67</v>
      </c>
      <c r="FO20" s="1">
        <v>80</v>
      </c>
      <c r="FP20" s="1">
        <v>7.2</v>
      </c>
      <c r="FQ20" s="1">
        <v>150192</v>
      </c>
      <c r="FR20" s="11">
        <f>2.3635/(FJ20/FL20)</f>
        <v>0.720900206846322</v>
      </c>
      <c r="FS20" s="11">
        <f>BP20-D20</f>
        <v>1944.52</v>
      </c>
      <c r="FT20" s="11">
        <f>FJ20-FB20</f>
        <v>337.11</v>
      </c>
    </row>
    <row r="21" spans="1:176">
      <c r="A21" s="2" t="s">
        <v>146</v>
      </c>
      <c r="B21" s="2" t="s">
        <v>149</v>
      </c>
      <c r="C21" s="2" t="s">
        <v>129</v>
      </c>
      <c r="D21" s="2">
        <v>1446.65</v>
      </c>
      <c r="E21" s="2">
        <f>F21-D21</f>
        <v>28.1799999999998</v>
      </c>
      <c r="F21" s="2">
        <v>1474.83</v>
      </c>
      <c r="G21" s="2">
        <f>H21-F21</f>
        <v>63.8200000000002</v>
      </c>
      <c r="H21" s="2">
        <v>1538.65</v>
      </c>
      <c r="I21" s="2">
        <f>J21-H21</f>
        <v>22.9199999999998</v>
      </c>
      <c r="J21" s="2">
        <v>1561.57</v>
      </c>
      <c r="K21" s="2">
        <f>L21-J21</f>
        <v>70.8600000000001</v>
      </c>
      <c r="L21" s="2">
        <v>1632.43</v>
      </c>
      <c r="M21" s="2">
        <f>N21-L21</f>
        <v>37.4099999999999</v>
      </c>
      <c r="N21" s="2">
        <v>1669.84</v>
      </c>
      <c r="O21" s="2">
        <f>P21-N21</f>
        <v>32.8300000000002</v>
      </c>
      <c r="P21" s="2">
        <v>1702.67</v>
      </c>
      <c r="Q21" s="2">
        <f>R21-P21</f>
        <v>51.9499999999998</v>
      </c>
      <c r="R21" s="2">
        <v>1754.62</v>
      </c>
      <c r="S21" s="2">
        <f>T21-R21</f>
        <v>40.1200000000001</v>
      </c>
      <c r="T21" s="2">
        <v>1794.74</v>
      </c>
      <c r="U21" s="2">
        <f>V21-T21</f>
        <v>77.5</v>
      </c>
      <c r="V21" s="14">
        <v>1872.24</v>
      </c>
      <c r="W21" s="2">
        <f>X21-V21</f>
        <v>79.5899999999999</v>
      </c>
      <c r="X21" s="14">
        <v>1951.83</v>
      </c>
      <c r="Y21" s="2">
        <f>Z21-X21</f>
        <v>9.01999999999998</v>
      </c>
      <c r="Z21" s="2">
        <v>1960.85</v>
      </c>
      <c r="AA21" s="2">
        <f>AB21-Z21</f>
        <v>74</v>
      </c>
      <c r="AB21" s="2">
        <v>2034.85</v>
      </c>
      <c r="AC21" s="2">
        <f>AD21-AB21</f>
        <v>31.8000000000002</v>
      </c>
      <c r="AD21" s="2">
        <v>2066.65</v>
      </c>
      <c r="AE21" s="15">
        <f>AF21-AD21</f>
        <v>107.43</v>
      </c>
      <c r="AF21" s="15">
        <v>2174.08</v>
      </c>
      <c r="AG21" s="15">
        <f>AH21-AF21</f>
        <v>53.3499999999999</v>
      </c>
      <c r="AH21" s="15">
        <v>2227.43</v>
      </c>
      <c r="AI21" s="15">
        <f>AJ21-AH21</f>
        <v>50.3300000000004</v>
      </c>
      <c r="AJ21" s="15">
        <v>2277.76</v>
      </c>
      <c r="AK21" s="15">
        <f>AL21-AJ21</f>
        <v>58.7299999999996</v>
      </c>
      <c r="AL21" s="15">
        <v>2336.49</v>
      </c>
      <c r="AM21" s="15">
        <f>AN21-AL21</f>
        <v>77.9400000000001</v>
      </c>
      <c r="AN21" s="15">
        <v>2414.43</v>
      </c>
      <c r="AO21" s="15">
        <f>AP21-AN21</f>
        <v>88.73</v>
      </c>
      <c r="AP21" s="15">
        <v>2503.16</v>
      </c>
      <c r="AQ21" s="15">
        <f>AR21-AP21</f>
        <v>60.4900000000002</v>
      </c>
      <c r="AR21" s="15">
        <v>2563.65</v>
      </c>
      <c r="AS21" s="15">
        <f>AT21-AR21</f>
        <v>52.7799999999997</v>
      </c>
      <c r="AT21" s="15">
        <v>2616.43</v>
      </c>
      <c r="AU21" s="16">
        <f>AV21-AT21</f>
        <v>26.8600000000001</v>
      </c>
      <c r="AV21" s="16">
        <v>2643.29</v>
      </c>
      <c r="AW21" s="17">
        <f>AX21-AV21</f>
        <v>56.9099999999999</v>
      </c>
      <c r="AX21" s="17">
        <v>2700.2</v>
      </c>
      <c r="AY21" s="17">
        <f>AZ21-AX21</f>
        <v>78.5900000000001</v>
      </c>
      <c r="AZ21" s="17">
        <v>2778.79</v>
      </c>
      <c r="BA21" s="17">
        <f>BB21-AZ21</f>
        <v>43.0700000000002</v>
      </c>
      <c r="BB21" s="17">
        <v>2821.86</v>
      </c>
      <c r="BC21" s="17">
        <f>BD21-BB21</f>
        <v>34.5099999999998</v>
      </c>
      <c r="BD21" s="17">
        <v>2856.37</v>
      </c>
      <c r="BE21" s="16">
        <f>BF21-BD21</f>
        <v>34.5799999999999</v>
      </c>
      <c r="BF21" s="17">
        <v>2890.95</v>
      </c>
      <c r="BG21" s="17">
        <f>BH21-BF21</f>
        <v>31.1200000000003</v>
      </c>
      <c r="BH21" s="17">
        <v>2922.07</v>
      </c>
      <c r="BI21" s="17">
        <f>BJ21-BH21</f>
        <v>60.27</v>
      </c>
      <c r="BJ21" s="17">
        <v>2982.34</v>
      </c>
      <c r="BK21" s="17">
        <f>BL21-BJ21</f>
        <v>42.5599999999999</v>
      </c>
      <c r="BL21" s="17">
        <v>3024.9</v>
      </c>
      <c r="BM21" s="17">
        <f>BN21-BL21</f>
        <v>66.8499999999999</v>
      </c>
      <c r="BN21" s="17">
        <v>3091.75</v>
      </c>
      <c r="BO21" s="17">
        <f>BP21-BN21</f>
        <v>40.8899999999999</v>
      </c>
      <c r="BP21" s="17">
        <v>3132.64</v>
      </c>
      <c r="BQ21" s="17">
        <f>BR21-BP21</f>
        <v>57.7800000000002</v>
      </c>
      <c r="BR21" s="17">
        <v>3190.42</v>
      </c>
      <c r="BS21" s="17">
        <f>BT21-BR21</f>
        <v>40.6300000000001</v>
      </c>
      <c r="BT21" s="17">
        <v>3231.05</v>
      </c>
      <c r="BU21" s="17">
        <f>BV21-BT21</f>
        <v>68.3299999999999</v>
      </c>
      <c r="BV21" s="17">
        <v>3299.38</v>
      </c>
      <c r="BW21" s="17">
        <f>BX21-BV21</f>
        <v>67.9200000000001</v>
      </c>
      <c r="BX21" s="17">
        <v>3367.3</v>
      </c>
      <c r="BY21" s="17">
        <f>BZ21-BX21</f>
        <v>52.96</v>
      </c>
      <c r="BZ21" s="17">
        <v>3420.26</v>
      </c>
      <c r="CA21" s="17">
        <f>CB21-BZ21</f>
        <v>41.3299999999999</v>
      </c>
      <c r="CB21" s="17">
        <v>3461.59</v>
      </c>
      <c r="CC21" s="17">
        <f>CD21-CB21</f>
        <v>51.1399999999999</v>
      </c>
      <c r="CD21" s="17">
        <v>3512.73</v>
      </c>
      <c r="CE21" s="17">
        <f>CF21-CD21</f>
        <v>100.36</v>
      </c>
      <c r="CF21" s="17">
        <v>3613.09</v>
      </c>
      <c r="CG21" s="17">
        <f>CH21-CF21</f>
        <v>85.6299999999997</v>
      </c>
      <c r="CH21" s="17">
        <v>3698.72</v>
      </c>
      <c r="CI21" s="17">
        <f>CJ21-CH21</f>
        <v>46.8200000000002</v>
      </c>
      <c r="CJ21" s="17">
        <v>3745.54</v>
      </c>
      <c r="CK21" s="17">
        <f>CL21-CJ21</f>
        <v>90.0900000000001</v>
      </c>
      <c r="CL21" s="17">
        <v>3835.63</v>
      </c>
      <c r="CM21" s="17">
        <f>CN21-CL21</f>
        <v>55.0999999999999</v>
      </c>
      <c r="CN21" s="17">
        <v>3890.73</v>
      </c>
      <c r="CO21" s="17">
        <f>CP21-CN21</f>
        <v>56.2399999999998</v>
      </c>
      <c r="CP21" s="17">
        <v>3946.97</v>
      </c>
      <c r="CQ21" s="17">
        <f>CR21-CP21</f>
        <v>45.2400000000002</v>
      </c>
      <c r="CR21" s="17">
        <v>3992.21</v>
      </c>
      <c r="CS21" s="17">
        <f>CT21-CR21</f>
        <v>85.8800000000001</v>
      </c>
      <c r="CT21" s="17">
        <v>4078.09</v>
      </c>
      <c r="CU21" s="17">
        <f>CV21-CT21</f>
        <v>56.4499999999998</v>
      </c>
      <c r="CV21" s="17">
        <v>4134.54</v>
      </c>
      <c r="CW21" s="16">
        <f>CX21-CV21</f>
        <v>67.3400000000001</v>
      </c>
      <c r="CX21" s="17">
        <v>4201.88</v>
      </c>
      <c r="CY21" s="17">
        <f>CZ21-CX21</f>
        <v>60.9899999999998</v>
      </c>
      <c r="CZ21" s="17">
        <v>4262.87</v>
      </c>
      <c r="DA21" s="17">
        <f>DB21-CZ21</f>
        <v>53.25</v>
      </c>
      <c r="DB21" s="17">
        <v>4316.12</v>
      </c>
      <c r="DC21" s="17">
        <f>DD21-DB21</f>
        <v>71.71</v>
      </c>
      <c r="DD21" s="17">
        <v>4387.83</v>
      </c>
      <c r="DE21" s="17">
        <f>DF21-DD21</f>
        <v>47.8400000000001</v>
      </c>
      <c r="DF21" s="17">
        <v>4435.67</v>
      </c>
      <c r="DG21" s="17">
        <f>DH21-DF21</f>
        <v>35.5299999999997</v>
      </c>
      <c r="DH21" s="17">
        <v>4471.2</v>
      </c>
      <c r="DI21" s="17">
        <f>DJ21-DH21</f>
        <v>75.5299999999997</v>
      </c>
      <c r="DJ21" s="17">
        <v>4546.73</v>
      </c>
      <c r="DK21" s="17">
        <f>DL21-DJ21</f>
        <v>29.4000000000005</v>
      </c>
      <c r="DL21" s="17">
        <v>4576.13</v>
      </c>
      <c r="DM21" s="17">
        <f>DN21-DL21</f>
        <v>44.0299999999997</v>
      </c>
      <c r="DN21" s="17">
        <v>4620.16</v>
      </c>
      <c r="DO21" s="16">
        <f>DP21-DN21</f>
        <v>38.8500000000004</v>
      </c>
      <c r="DP21" s="17">
        <v>4659.01</v>
      </c>
      <c r="DQ21" s="17">
        <f>DR21-DP21</f>
        <v>49.0500000000002</v>
      </c>
      <c r="DR21" s="17">
        <v>4708.06</v>
      </c>
      <c r="DS21" s="17">
        <f>DT21-DR21</f>
        <v>20.8399999999992</v>
      </c>
      <c r="DT21" s="17">
        <v>4728.9</v>
      </c>
      <c r="DU21" s="17">
        <f>DV21-DT21</f>
        <v>44.3000000000002</v>
      </c>
      <c r="DV21" s="17">
        <v>4773.2</v>
      </c>
      <c r="DW21" s="17">
        <f>DX21-DV21</f>
        <v>58.4300000000003</v>
      </c>
      <c r="DX21" s="17">
        <v>4831.63</v>
      </c>
      <c r="DY21" s="17">
        <f>DZ21-DX21</f>
        <v>22.3699999999999</v>
      </c>
      <c r="DZ21" s="17">
        <v>4854</v>
      </c>
      <c r="EA21" s="17">
        <f>EB21-DZ21</f>
        <v>17.7700000000004</v>
      </c>
      <c r="EB21" s="17">
        <v>4871.77</v>
      </c>
      <c r="EC21" s="17">
        <f>ED21-EB21</f>
        <v>52.2299999999996</v>
      </c>
      <c r="ED21" s="17">
        <v>4924</v>
      </c>
      <c r="EE21" s="17">
        <f>EF21-ED21</f>
        <v>25.1999999999998</v>
      </c>
      <c r="EF21" s="17">
        <v>4949.2</v>
      </c>
      <c r="EG21" s="17">
        <f>EH21-EF21</f>
        <v>66.6100000000006</v>
      </c>
      <c r="EH21" s="17">
        <v>5015.81</v>
      </c>
      <c r="EI21" s="17">
        <f>EJ21-EH21</f>
        <v>51.8099999999995</v>
      </c>
      <c r="EJ21" s="17">
        <v>5067.62</v>
      </c>
      <c r="EK21" s="17">
        <f>EL21-EJ21</f>
        <v>41.6800000000003</v>
      </c>
      <c r="EL21" s="17">
        <v>5109.3</v>
      </c>
      <c r="EM21" s="17">
        <f>EN21-EL21</f>
        <v>60.7299999999996</v>
      </c>
      <c r="EN21" s="17">
        <v>5170.03</v>
      </c>
      <c r="EO21" s="17">
        <f>EP21-EN21</f>
        <v>43.0700000000006</v>
      </c>
      <c r="EP21" s="17">
        <v>5213.1</v>
      </c>
      <c r="EQ21" s="17">
        <f>ER21-EP21</f>
        <v>74.9399999999996</v>
      </c>
      <c r="ER21" s="17">
        <v>5288.04</v>
      </c>
      <c r="ES21" s="17">
        <f>ET21-ER21</f>
        <v>49.1000000000004</v>
      </c>
      <c r="ET21" s="17">
        <v>5337.14</v>
      </c>
      <c r="EU21" s="17">
        <f>EV21-ET21</f>
        <v>19.5799999999999</v>
      </c>
      <c r="EV21" s="17">
        <v>5356.72</v>
      </c>
      <c r="EW21" s="17">
        <f>EX21-EV21</f>
        <v>11.2699999999995</v>
      </c>
      <c r="EX21" s="17">
        <v>5367.99</v>
      </c>
      <c r="EY21" s="17">
        <f>EZ21-EX21</f>
        <v>30.0700000000006</v>
      </c>
      <c r="EZ21" s="17">
        <v>5398.06</v>
      </c>
      <c r="FA21" s="17">
        <f>FB21-EZ21</f>
        <v>41.7599999999993</v>
      </c>
      <c r="FB21" s="17">
        <v>5439.82</v>
      </c>
      <c r="FC21" s="17">
        <f>FD21-FB21</f>
        <v>42.3699999999999</v>
      </c>
      <c r="FD21" s="17">
        <v>5482.19</v>
      </c>
      <c r="FE21" s="17">
        <f>FF21-FD21</f>
        <v>82.5</v>
      </c>
      <c r="FF21" s="17">
        <v>5564.69</v>
      </c>
      <c r="FG21" s="17">
        <f>FH21-FF21</f>
        <v>92.4400000000005</v>
      </c>
      <c r="FH21" s="16">
        <v>5657.13</v>
      </c>
      <c r="FI21" s="17">
        <f>FJ21-FH21</f>
        <v>48.6400000000003</v>
      </c>
      <c r="FJ21" s="17">
        <v>5705.77</v>
      </c>
      <c r="FK21" s="16" t="s">
        <v>109</v>
      </c>
      <c r="FL21" s="15">
        <v>2414.12</v>
      </c>
      <c r="FM21" s="15" t="s">
        <v>110</v>
      </c>
      <c r="FN21" s="15">
        <v>1048.57</v>
      </c>
      <c r="FO21" s="2">
        <v>65</v>
      </c>
      <c r="FP21" s="2">
        <v>1.4</v>
      </c>
      <c r="FQ21" s="2">
        <v>109333</v>
      </c>
      <c r="FR21" s="15">
        <f>2.3635/(FJ21/FL21)</f>
        <v>1.0000004591843</v>
      </c>
      <c r="FS21" s="15">
        <f>BP21-D21</f>
        <v>1685.99</v>
      </c>
      <c r="FT21" s="15">
        <f>FJ21-FB21</f>
        <v>265.950000000001</v>
      </c>
    </row>
    <row r="22" spans="1:176">
      <c r="A22" s="8" t="s">
        <v>150</v>
      </c>
      <c r="B22" s="8" t="s">
        <v>151</v>
      </c>
      <c r="C22" s="8" t="s">
        <v>108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26">
        <v>1429.42</v>
      </c>
      <c r="AS22" s="26">
        <f>AT22-AR22</f>
        <v>0</v>
      </c>
      <c r="AT22" s="26">
        <v>1429.42</v>
      </c>
      <c r="AU22" s="27">
        <f>AV22-AT22</f>
        <v>22.4199999999998</v>
      </c>
      <c r="AV22" s="27">
        <v>1451.84</v>
      </c>
      <c r="AW22" s="28">
        <f>AX22-AV22</f>
        <v>24.0600000000002</v>
      </c>
      <c r="AX22" s="28">
        <v>1475.9</v>
      </c>
      <c r="AY22" s="28">
        <f>AZ22-AX22</f>
        <v>41.01</v>
      </c>
      <c r="AZ22" s="28">
        <v>1516.91</v>
      </c>
      <c r="BA22" s="28">
        <f>BB22-AZ22</f>
        <v>25.5999999999999</v>
      </c>
      <c r="BB22" s="28">
        <v>1542.51</v>
      </c>
      <c r="BC22" s="28">
        <f>BD22-BB22</f>
        <v>35.6800000000001</v>
      </c>
      <c r="BD22" s="28">
        <v>1578.19</v>
      </c>
      <c r="BE22" s="27">
        <f>BF22-BD22</f>
        <v>-0.230000000000018</v>
      </c>
      <c r="BF22" s="28">
        <v>1577.96</v>
      </c>
      <c r="BG22" s="28">
        <f>BH22-BF22</f>
        <v>57.1099999999999</v>
      </c>
      <c r="BH22" s="28">
        <v>1635.07</v>
      </c>
      <c r="BI22" s="28">
        <f>BJ22-BH22</f>
        <v>51.1700000000001</v>
      </c>
      <c r="BJ22" s="28">
        <v>1686.24</v>
      </c>
      <c r="BK22" s="28">
        <f>BL22-BJ22</f>
        <v>29.0699999999999</v>
      </c>
      <c r="BL22" s="28">
        <v>1715.31</v>
      </c>
      <c r="BM22" s="28">
        <f>BN22-BL22</f>
        <v>22.1300000000001</v>
      </c>
      <c r="BN22" s="28">
        <v>1737.44</v>
      </c>
      <c r="BO22" s="28">
        <f>BP22-BN22</f>
        <v>39.3399999999999</v>
      </c>
      <c r="BP22" s="28">
        <v>1776.78</v>
      </c>
      <c r="BQ22" s="28">
        <f>BR22-BP22</f>
        <v>40.3900000000001</v>
      </c>
      <c r="BR22" s="28">
        <v>1817.17</v>
      </c>
      <c r="BS22" s="28">
        <f>BT22-BR22</f>
        <v>30.6799999999998</v>
      </c>
      <c r="BT22" s="28">
        <v>1847.85</v>
      </c>
      <c r="BU22" s="28">
        <f>BV22-BT22</f>
        <v>44.9100000000001</v>
      </c>
      <c r="BV22" s="28">
        <v>1892.76</v>
      </c>
      <c r="BW22" s="28">
        <f>BX22-BV22</f>
        <v>51.1400000000001</v>
      </c>
      <c r="BX22" s="28">
        <v>1943.9</v>
      </c>
      <c r="BY22" s="28">
        <f>BZ22-BX22</f>
        <v>15.48</v>
      </c>
      <c r="BZ22" s="28">
        <v>1959.38</v>
      </c>
      <c r="CA22" s="28">
        <f>CB22-BZ22</f>
        <v>-2.44000000000005</v>
      </c>
      <c r="CB22" s="28">
        <v>1956.94</v>
      </c>
      <c r="CC22" s="28">
        <f>CD22-CB22</f>
        <v>57.8299999999999</v>
      </c>
      <c r="CD22" s="28">
        <v>2014.77</v>
      </c>
      <c r="CE22" s="28">
        <f>CF22-CD22</f>
        <v>31.53</v>
      </c>
      <c r="CF22" s="28">
        <v>2046.3</v>
      </c>
      <c r="CG22" s="28">
        <f>CH22-CF22</f>
        <v>84.01</v>
      </c>
      <c r="CH22" s="28">
        <v>2130.31</v>
      </c>
      <c r="CI22" s="28">
        <f>CJ22-CH22</f>
        <v>47.0700000000002</v>
      </c>
      <c r="CJ22" s="28">
        <v>2177.38</v>
      </c>
      <c r="CK22" s="28">
        <f>CL22-CJ22</f>
        <v>65.9200000000001</v>
      </c>
      <c r="CL22" s="28">
        <v>2243.3</v>
      </c>
      <c r="CM22" s="28">
        <f>CN22-CL22</f>
        <v>32.2999999999997</v>
      </c>
      <c r="CN22" s="28">
        <v>2275.6</v>
      </c>
      <c r="CO22" s="28">
        <f>CP22-CN22</f>
        <v>52.6100000000001</v>
      </c>
      <c r="CP22" s="28">
        <v>2328.21</v>
      </c>
      <c r="CQ22" s="28">
        <f>CR22-CP22</f>
        <v>36.4099999999999</v>
      </c>
      <c r="CR22" s="28">
        <v>2364.62</v>
      </c>
      <c r="CS22" s="28">
        <f>CT22-CR22</f>
        <v>47.6300000000001</v>
      </c>
      <c r="CT22" s="28">
        <v>2412.25</v>
      </c>
      <c r="CU22" s="28">
        <f>CV22-CT22</f>
        <v>42.6700000000001</v>
      </c>
      <c r="CV22" s="28">
        <v>2454.92</v>
      </c>
      <c r="CW22" s="27">
        <f>CX22-CV22</f>
        <v>63.5699999999997</v>
      </c>
      <c r="CX22" s="28">
        <v>2518.49</v>
      </c>
      <c r="CY22" s="28">
        <f>CZ22-CX22</f>
        <v>33.0200000000004</v>
      </c>
      <c r="CZ22" s="28">
        <v>2551.51</v>
      </c>
      <c r="DA22" s="28">
        <f>DB22-CZ22</f>
        <v>33.1699999999996</v>
      </c>
      <c r="DB22" s="28">
        <v>2584.68</v>
      </c>
      <c r="DC22" s="28">
        <f>DD22-DB22</f>
        <v>-9.13999999999987</v>
      </c>
      <c r="DD22" s="28">
        <v>2575.54</v>
      </c>
      <c r="DE22" s="28">
        <f>DF22-DD22</f>
        <v>27.23</v>
      </c>
      <c r="DF22" s="28">
        <v>2602.77</v>
      </c>
      <c r="DG22" s="28">
        <f>DH22-DF22</f>
        <v>25.1700000000001</v>
      </c>
      <c r="DH22" s="28">
        <v>2627.94</v>
      </c>
      <c r="DI22" s="28">
        <f>DJ22-DH22</f>
        <v>74.4899999999998</v>
      </c>
      <c r="DJ22" s="28">
        <v>2702.43</v>
      </c>
      <c r="DK22" s="28">
        <f>DL22-DJ22</f>
        <v>71.1600000000003</v>
      </c>
      <c r="DL22" s="28">
        <v>2773.59</v>
      </c>
      <c r="DM22" s="28">
        <f>DN22-DL22</f>
        <v>63.3199999999997</v>
      </c>
      <c r="DN22" s="28">
        <v>2836.91</v>
      </c>
      <c r="DO22" s="27">
        <f>DP22-DN22</f>
        <v>18.1200000000003</v>
      </c>
      <c r="DP22" s="28">
        <v>2855.03</v>
      </c>
      <c r="DQ22" s="28">
        <f>DR22-DP22</f>
        <v>43.1999999999998</v>
      </c>
      <c r="DR22" s="28">
        <v>2898.23</v>
      </c>
      <c r="DS22" s="28">
        <f>DT22-DR22</f>
        <v>31.9299999999998</v>
      </c>
      <c r="DT22" s="28">
        <v>2930.16</v>
      </c>
      <c r="DU22" s="28">
        <f>DV22-DT22</f>
        <v>23.4400000000001</v>
      </c>
      <c r="DV22" s="28">
        <v>2953.6</v>
      </c>
      <c r="DW22" s="28">
        <f>DX22-DV22</f>
        <v>56.79</v>
      </c>
      <c r="DX22" s="28">
        <v>3010.39</v>
      </c>
      <c r="DY22" s="28">
        <f>DZ22-DX22</f>
        <v>-17.6599999999999</v>
      </c>
      <c r="DZ22" s="28">
        <v>2992.73</v>
      </c>
      <c r="EA22" s="28">
        <f>EB22-DZ22</f>
        <v>77.52</v>
      </c>
      <c r="EB22" s="28">
        <v>3070.25</v>
      </c>
      <c r="EC22" s="28">
        <f>ED22-EB22</f>
        <v>-0.789999999999964</v>
      </c>
      <c r="ED22" s="28">
        <v>3069.46</v>
      </c>
      <c r="EE22" s="28">
        <f>EF22-ED22</f>
        <v>62.8699999999999</v>
      </c>
      <c r="EF22" s="28">
        <v>3132.33</v>
      </c>
      <c r="EG22" s="28">
        <f>EH22-EF22</f>
        <v>12.8800000000001</v>
      </c>
      <c r="EH22" s="28">
        <v>3145.21</v>
      </c>
      <c r="EI22" s="28">
        <f>EJ22-EH22</f>
        <v>52.6799999999998</v>
      </c>
      <c r="EJ22" s="28">
        <v>3197.89</v>
      </c>
      <c r="EK22" s="28">
        <f>EL22-EJ22</f>
        <v>72.6100000000001</v>
      </c>
      <c r="EL22" s="28">
        <v>3270.5</v>
      </c>
      <c r="EM22" s="28">
        <f>EN22-EL22</f>
        <v>67.8200000000002</v>
      </c>
      <c r="EN22" s="28">
        <v>3338.32</v>
      </c>
      <c r="EO22" s="28">
        <f>EP22-EN22</f>
        <v>36.3199999999997</v>
      </c>
      <c r="EP22" s="28">
        <v>3374.64</v>
      </c>
      <c r="EQ22" s="28">
        <f>ER22-EP22</f>
        <v>60.2000000000003</v>
      </c>
      <c r="ER22" s="28">
        <v>3434.84</v>
      </c>
      <c r="ES22" s="28">
        <f>ET22-ER22</f>
        <v>259.67</v>
      </c>
      <c r="ET22" s="28">
        <v>3694.51</v>
      </c>
      <c r="EU22" s="28">
        <f>EV22-ET22</f>
        <v>41.5299999999997</v>
      </c>
      <c r="EV22" s="28">
        <v>3736.04</v>
      </c>
      <c r="EW22" s="28">
        <f>EX22-EV22</f>
        <v>173.68</v>
      </c>
      <c r="EX22" s="28">
        <v>3909.72</v>
      </c>
      <c r="EY22" s="28">
        <f>EZ22-EX22</f>
        <v>128.09</v>
      </c>
      <c r="EZ22" s="28">
        <v>4037.81</v>
      </c>
      <c r="FA22" s="28">
        <f>FB22-EZ22</f>
        <v>84.4900000000002</v>
      </c>
      <c r="FB22" s="28">
        <v>4122.3</v>
      </c>
      <c r="FC22" s="28">
        <f>FD22-FB22</f>
        <v>135.9</v>
      </c>
      <c r="FD22" s="28">
        <v>4258.2</v>
      </c>
      <c r="FE22" s="28">
        <f>FF22-FD22</f>
        <v>45.0900000000001</v>
      </c>
      <c r="FF22" s="28">
        <v>4303.29</v>
      </c>
      <c r="FG22" s="28">
        <f>FH22-FF22</f>
        <v>62.9200000000001</v>
      </c>
      <c r="FH22" s="27">
        <v>4366.21</v>
      </c>
      <c r="FI22" s="28">
        <f>FJ22-FH22</f>
        <v>24.2600000000002</v>
      </c>
      <c r="FJ22" s="28">
        <v>4390.47</v>
      </c>
      <c r="FK22" s="27" t="s">
        <v>152</v>
      </c>
      <c r="FL22" s="26">
        <v>1198.92</v>
      </c>
      <c r="FM22" s="26" t="s">
        <v>138</v>
      </c>
      <c r="FN22" s="26">
        <v>304.12</v>
      </c>
      <c r="FO22" s="8"/>
      <c r="FP22" s="8"/>
      <c r="FQ22" s="8"/>
      <c r="FR22" s="26">
        <f>2.3635/(FJ22/FL22)</f>
        <v>0.645408673786633</v>
      </c>
      <c r="FS22" s="26">
        <f>BP22-D22</f>
        <v>1776.78</v>
      </c>
      <c r="FT22" s="26">
        <f>FJ22-FB22</f>
        <v>268.17</v>
      </c>
    </row>
    <row r="23" spans="1:176">
      <c r="A23" s="8" t="s">
        <v>150</v>
      </c>
      <c r="B23" s="8" t="s">
        <v>153</v>
      </c>
      <c r="C23" s="8" t="s">
        <v>116</v>
      </c>
      <c r="D23" s="8">
        <v>950.09</v>
      </c>
      <c r="E23" s="8">
        <f>F23-D23</f>
        <v>42.4</v>
      </c>
      <c r="F23" s="8">
        <v>992.49</v>
      </c>
      <c r="G23" s="8">
        <f>H23-F23</f>
        <v>38.5899999999999</v>
      </c>
      <c r="H23" s="8">
        <v>1031.08</v>
      </c>
      <c r="I23" s="8">
        <f>J23-H23</f>
        <v>22.6000000000001</v>
      </c>
      <c r="J23" s="8">
        <v>1053.68</v>
      </c>
      <c r="K23" s="8">
        <f>L23-J23</f>
        <v>10.9299999999998</v>
      </c>
      <c r="L23" s="8">
        <v>1064.61</v>
      </c>
      <c r="M23" s="8">
        <f>N23-L23</f>
        <v>16.1800000000001</v>
      </c>
      <c r="N23" s="8">
        <v>1080.79</v>
      </c>
      <c r="O23" s="8">
        <f>P23-N23</f>
        <v>13.6700000000001</v>
      </c>
      <c r="P23" s="8">
        <v>1094.46</v>
      </c>
      <c r="Q23" s="8">
        <f>R23-P23</f>
        <v>56.26</v>
      </c>
      <c r="R23" s="8">
        <v>1150.72</v>
      </c>
      <c r="S23" s="8">
        <f>T23-R23</f>
        <v>41.27</v>
      </c>
      <c r="T23" s="8">
        <v>1191.99</v>
      </c>
      <c r="U23" s="8">
        <f>V23-T23</f>
        <v>35.21</v>
      </c>
      <c r="V23" s="25">
        <v>1227.2</v>
      </c>
      <c r="W23" s="8">
        <f>X23-V23</f>
        <v>33.3599999999999</v>
      </c>
      <c r="X23" s="25">
        <v>1260.56</v>
      </c>
      <c r="Y23" s="8">
        <f>Z23-X23</f>
        <v>46.0900000000001</v>
      </c>
      <c r="Z23" s="8">
        <v>1306.65</v>
      </c>
      <c r="AA23" s="8">
        <f>AB23-Z23</f>
        <v>31.1699999999998</v>
      </c>
      <c r="AB23" s="8">
        <v>1337.82</v>
      </c>
      <c r="AC23" s="8">
        <f>AD23-AB23</f>
        <v>18.79</v>
      </c>
      <c r="AD23" s="8">
        <v>1356.61</v>
      </c>
      <c r="AE23" s="26">
        <f>AF23-AD23</f>
        <v>31.5900000000001</v>
      </c>
      <c r="AF23" s="26">
        <v>1388.2</v>
      </c>
      <c r="AG23" s="26">
        <f>AH23-AF23</f>
        <v>61.74</v>
      </c>
      <c r="AH23" s="26">
        <v>1449.94</v>
      </c>
      <c r="AI23" s="26">
        <f>AJ23-AH23</f>
        <v>22.1699999999998</v>
      </c>
      <c r="AJ23" s="26">
        <v>1472.11</v>
      </c>
      <c r="AK23" s="26">
        <f>AL23-AJ23</f>
        <v>44.0300000000002</v>
      </c>
      <c r="AL23" s="26">
        <v>1516.14</v>
      </c>
      <c r="AM23" s="26">
        <f>AN23-AL23</f>
        <v>40.25</v>
      </c>
      <c r="AN23" s="26">
        <v>1556.39</v>
      </c>
      <c r="AO23" s="26">
        <f>AP23-AN23</f>
        <v>49.1499999999999</v>
      </c>
      <c r="AP23" s="26">
        <v>1605.54</v>
      </c>
      <c r="AQ23" s="26">
        <f>AR23-AP23</f>
        <v>51.48</v>
      </c>
      <c r="AR23" s="26">
        <v>1657.02</v>
      </c>
      <c r="AS23" s="26">
        <f>AT23-AR23</f>
        <v>20.53</v>
      </c>
      <c r="AT23" s="26">
        <v>1677.55</v>
      </c>
      <c r="AU23" s="27">
        <f>AV23-AT23</f>
        <v>42.72</v>
      </c>
      <c r="AV23" s="27">
        <v>1720.27</v>
      </c>
      <c r="AW23" s="28">
        <f>AX23-AV23</f>
        <v>26.77</v>
      </c>
      <c r="AX23" s="28">
        <v>1747.04</v>
      </c>
      <c r="AY23" s="28">
        <f>AZ23-AX23</f>
        <v>25</v>
      </c>
      <c r="AZ23" s="28">
        <v>1772.04</v>
      </c>
      <c r="BA23" s="28">
        <f>BB23-AZ23</f>
        <v>65.03</v>
      </c>
      <c r="BB23" s="28">
        <v>1837.07</v>
      </c>
      <c r="BC23" s="28">
        <f>BD23-BB23</f>
        <v>23.6700000000001</v>
      </c>
      <c r="BD23" s="28">
        <v>1860.74</v>
      </c>
      <c r="BE23" s="27">
        <f>BF23-BD23</f>
        <v>29.48</v>
      </c>
      <c r="BF23" s="28">
        <v>1890.22</v>
      </c>
      <c r="BG23" s="28">
        <f>BH23-BF23</f>
        <v>72.71</v>
      </c>
      <c r="BH23" s="28">
        <v>1962.93</v>
      </c>
      <c r="BI23" s="28">
        <f>BJ23-BH23</f>
        <v>22.8799999999999</v>
      </c>
      <c r="BJ23" s="28">
        <v>1985.81</v>
      </c>
      <c r="BK23" s="28">
        <f>BL23-BJ23</f>
        <v>56.8400000000001</v>
      </c>
      <c r="BL23" s="28">
        <v>2042.65</v>
      </c>
      <c r="BM23" s="28">
        <f>BN23-BL23</f>
        <v>27.0499999999997</v>
      </c>
      <c r="BN23" s="28">
        <v>2069.7</v>
      </c>
      <c r="BO23" s="28">
        <f>BP23-BN23</f>
        <v>23.5800000000004</v>
      </c>
      <c r="BP23" s="28">
        <v>2093.28</v>
      </c>
      <c r="BQ23" s="28">
        <f>BR23-BP23</f>
        <v>22.7599999999998</v>
      </c>
      <c r="BR23" s="28">
        <v>2116.04</v>
      </c>
      <c r="BS23" s="28">
        <f>BT23-BR23</f>
        <v>40.79</v>
      </c>
      <c r="BT23" s="28">
        <v>2156.83</v>
      </c>
      <c r="BU23" s="28">
        <f>BV23-BT23</f>
        <v>15.3400000000001</v>
      </c>
      <c r="BV23" s="28">
        <v>2172.17</v>
      </c>
      <c r="BW23" s="28">
        <f>BX23-BV23</f>
        <v>57.3400000000001</v>
      </c>
      <c r="BX23" s="28">
        <v>2229.51</v>
      </c>
      <c r="BY23" s="28">
        <f>BZ23-BX23</f>
        <v>56.0299999999997</v>
      </c>
      <c r="BZ23" s="28">
        <v>2285.54</v>
      </c>
      <c r="CA23" s="28">
        <f>CB23-BZ23</f>
        <v>64.71</v>
      </c>
      <c r="CB23" s="28">
        <v>2350.25</v>
      </c>
      <c r="CC23" s="28">
        <f>CD23-CB23</f>
        <v>42.1100000000001</v>
      </c>
      <c r="CD23" s="28">
        <v>2392.36</v>
      </c>
      <c r="CE23" s="28">
        <f>CF23-CD23</f>
        <v>41.21</v>
      </c>
      <c r="CF23" s="28">
        <v>2433.57</v>
      </c>
      <c r="CG23" s="28">
        <f>CH23-CF23</f>
        <v>33.3499999999999</v>
      </c>
      <c r="CH23" s="28">
        <v>2466.92</v>
      </c>
      <c r="CI23" s="28">
        <f>CJ23-CH23</f>
        <v>36.3299999999999</v>
      </c>
      <c r="CJ23" s="28">
        <v>2503.25</v>
      </c>
      <c r="CK23" s="28">
        <f>CL23-CJ23</f>
        <v>59.1100000000001</v>
      </c>
      <c r="CL23" s="28">
        <v>2562.36</v>
      </c>
      <c r="CM23" s="28">
        <f>CN23-CL23</f>
        <v>54.8099999999999</v>
      </c>
      <c r="CN23" s="28">
        <v>2617.17</v>
      </c>
      <c r="CO23" s="28">
        <f>CP23-CN23</f>
        <v>23.9099999999999</v>
      </c>
      <c r="CP23" s="28">
        <v>2641.08</v>
      </c>
      <c r="CQ23" s="28">
        <f>CR23-CP23</f>
        <v>38.7400000000002</v>
      </c>
      <c r="CR23" s="28">
        <v>2679.82</v>
      </c>
      <c r="CS23" s="28">
        <f>CT23-CR23</f>
        <v>85.1699999999996</v>
      </c>
      <c r="CT23" s="28">
        <v>2764.99</v>
      </c>
      <c r="CU23" s="28">
        <f>CV23-CT23</f>
        <v>44.5200000000004</v>
      </c>
      <c r="CV23" s="28">
        <v>2809.51</v>
      </c>
      <c r="CW23" s="27">
        <f>CX23-CV23</f>
        <v>45.9299999999998</v>
      </c>
      <c r="CX23" s="28">
        <v>2855.44</v>
      </c>
      <c r="CY23" s="28">
        <f>CZ23-CX23</f>
        <v>40.3699999999999</v>
      </c>
      <c r="CZ23" s="28">
        <v>2895.81</v>
      </c>
      <c r="DA23" s="28">
        <f>DB23-CZ23</f>
        <v>32.8299999999999</v>
      </c>
      <c r="DB23" s="28">
        <v>2928.64</v>
      </c>
      <c r="DC23" s="28">
        <f>DD23-DB23</f>
        <v>50.6400000000003</v>
      </c>
      <c r="DD23" s="28">
        <v>2979.28</v>
      </c>
      <c r="DE23" s="28">
        <f>DF23-DD23</f>
        <v>53.3799999999997</v>
      </c>
      <c r="DF23" s="28">
        <v>3032.66</v>
      </c>
      <c r="DG23" s="28">
        <f>DH23-DF23</f>
        <v>32.4000000000001</v>
      </c>
      <c r="DH23" s="28">
        <v>3065.06</v>
      </c>
      <c r="DI23" s="28">
        <f>DJ23-DH23</f>
        <v>49.1799999999998</v>
      </c>
      <c r="DJ23" s="28">
        <v>3114.24</v>
      </c>
      <c r="DK23" s="28">
        <f>DL23-DJ23</f>
        <v>52.1700000000001</v>
      </c>
      <c r="DL23" s="28">
        <v>3166.41</v>
      </c>
      <c r="DM23" s="28">
        <f>DN23-DL23</f>
        <v>44.98</v>
      </c>
      <c r="DN23" s="28">
        <v>3211.39</v>
      </c>
      <c r="DO23" s="27">
        <f>DP23-DN23</f>
        <v>29.8499999999999</v>
      </c>
      <c r="DP23" s="28">
        <v>3241.24</v>
      </c>
      <c r="DQ23" s="28">
        <f>DR23-DP23</f>
        <v>19.2600000000002</v>
      </c>
      <c r="DR23" s="28">
        <v>3260.5</v>
      </c>
      <c r="DS23" s="28">
        <f>DT23-DR23</f>
        <v>63.8499999999999</v>
      </c>
      <c r="DT23" s="28">
        <v>3324.35</v>
      </c>
      <c r="DU23" s="28">
        <f>DV23-DT23</f>
        <v>34.8099999999999</v>
      </c>
      <c r="DV23" s="28">
        <v>3359.16</v>
      </c>
      <c r="DW23" s="28">
        <f>DX23-DV23</f>
        <v>31.29</v>
      </c>
      <c r="DX23" s="28">
        <v>3390.45</v>
      </c>
      <c r="DY23" s="28">
        <f>DZ23-DX23</f>
        <v>24.96</v>
      </c>
      <c r="DZ23" s="28">
        <v>3415.41</v>
      </c>
      <c r="EA23" s="28">
        <f>EB23-DZ23</f>
        <v>40.0900000000001</v>
      </c>
      <c r="EB23" s="28">
        <v>3455.5</v>
      </c>
      <c r="EC23" s="28">
        <f>ED23-EB23</f>
        <v>39.0300000000002</v>
      </c>
      <c r="ED23" s="28">
        <v>3494.53</v>
      </c>
      <c r="EE23" s="28">
        <f>EF23-ED23</f>
        <v>77.7599999999998</v>
      </c>
      <c r="EF23" s="28">
        <v>3572.29</v>
      </c>
      <c r="EG23" s="28">
        <f>EH23-EF23</f>
        <v>47.3699999999999</v>
      </c>
      <c r="EH23" s="28">
        <v>3619.66</v>
      </c>
      <c r="EI23" s="28">
        <f>EJ23-EH23</f>
        <v>27.9300000000003</v>
      </c>
      <c r="EJ23" s="28">
        <v>3647.59</v>
      </c>
      <c r="EK23" s="28">
        <f>EL23-EJ23</f>
        <v>56.0499999999997</v>
      </c>
      <c r="EL23" s="28">
        <v>3703.64</v>
      </c>
      <c r="EM23" s="28">
        <f>EN23-EL23</f>
        <v>20.6400000000003</v>
      </c>
      <c r="EN23" s="28">
        <v>3724.28</v>
      </c>
      <c r="EO23" s="28">
        <f>EP23-EN23</f>
        <v>36.5899999999997</v>
      </c>
      <c r="EP23" s="28">
        <v>3760.87</v>
      </c>
      <c r="EQ23" s="28">
        <f>ER23-EP23</f>
        <v>51.3299999999999</v>
      </c>
      <c r="ER23" s="28">
        <v>3812.2</v>
      </c>
      <c r="ES23" s="28">
        <f>ET23-ER23</f>
        <v>41.6200000000003</v>
      </c>
      <c r="ET23" s="28">
        <v>3853.82</v>
      </c>
      <c r="EU23" s="28">
        <f>EV23-ET23</f>
        <v>90.6599999999999</v>
      </c>
      <c r="EV23" s="28">
        <v>3944.48</v>
      </c>
      <c r="EW23" s="28">
        <f>EX23-EV23</f>
        <v>20.2399999999998</v>
      </c>
      <c r="EX23" s="28">
        <v>3964.72</v>
      </c>
      <c r="EY23" s="28">
        <f>EZ23-EX23</f>
        <v>42.3600000000001</v>
      </c>
      <c r="EZ23" s="28">
        <v>4007.08</v>
      </c>
      <c r="FA23" s="28">
        <f>FB23-EZ23</f>
        <v>28.0100000000002</v>
      </c>
      <c r="FB23" s="28">
        <v>4035.09</v>
      </c>
      <c r="FC23" s="28">
        <f>FD23-FB23</f>
        <v>29.8299999999999</v>
      </c>
      <c r="FD23" s="28">
        <v>4064.92</v>
      </c>
      <c r="FE23" s="28">
        <f>FF23-FD23</f>
        <v>42.9099999999999</v>
      </c>
      <c r="FF23" s="28">
        <v>4107.83</v>
      </c>
      <c r="FG23" s="28">
        <f>FH23-FF23</f>
        <v>25.8900000000003</v>
      </c>
      <c r="FH23" s="27">
        <v>4133.72</v>
      </c>
      <c r="FI23" s="28">
        <f>FJ23-FH23</f>
        <v>38.6599999999999</v>
      </c>
      <c r="FJ23" s="28">
        <v>4172.38</v>
      </c>
      <c r="FK23" s="27" t="s">
        <v>139</v>
      </c>
      <c r="FL23" s="26">
        <v>1715.56</v>
      </c>
      <c r="FM23" s="26" t="s">
        <v>138</v>
      </c>
      <c r="FN23" s="26">
        <v>704.28</v>
      </c>
      <c r="FO23" s="8">
        <v>10</v>
      </c>
      <c r="FP23" s="8">
        <v>2.2</v>
      </c>
      <c r="FQ23" s="8">
        <v>86194</v>
      </c>
      <c r="FR23" s="26">
        <f>2.3635/(FJ23/FL23)</f>
        <v>0.971801719881698</v>
      </c>
      <c r="FS23" s="26">
        <f>BP23-D23</f>
        <v>1143.19</v>
      </c>
      <c r="FT23" s="26">
        <f>FJ23-FB23</f>
        <v>137.29</v>
      </c>
    </row>
    <row r="24" spans="1:176">
      <c r="A24" s="8" t="s">
        <v>150</v>
      </c>
      <c r="B24" s="8" t="s">
        <v>154</v>
      </c>
      <c r="C24" s="8" t="s">
        <v>135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26">
        <v>1444.24</v>
      </c>
      <c r="AS24" s="26">
        <f>AT24-AR24</f>
        <v>0</v>
      </c>
      <c r="AT24" s="26">
        <v>1444.24</v>
      </c>
      <c r="AU24" s="27">
        <f>AV24-AT24</f>
        <v>35.5599999999999</v>
      </c>
      <c r="AV24" s="28">
        <v>1479.8</v>
      </c>
      <c r="AW24" s="28">
        <f>AX24-AV24</f>
        <v>30.3700000000001</v>
      </c>
      <c r="AX24" s="28">
        <v>1510.17</v>
      </c>
      <c r="AY24" s="28">
        <f>AZ24-AX24</f>
        <v>21.47</v>
      </c>
      <c r="AZ24" s="28">
        <v>1531.64</v>
      </c>
      <c r="BA24" s="28">
        <f>BB24-AZ24</f>
        <v>41.3899999999999</v>
      </c>
      <c r="BB24" s="28">
        <v>1573.03</v>
      </c>
      <c r="BC24" s="28">
        <f>BD24-BB24</f>
        <v>24.21</v>
      </c>
      <c r="BD24" s="28">
        <v>1597.24</v>
      </c>
      <c r="BE24" s="27">
        <f>BF24-BD24</f>
        <v>19.22</v>
      </c>
      <c r="BF24" s="28">
        <v>1616.46</v>
      </c>
      <c r="BG24" s="28">
        <f>BH24-BF24</f>
        <v>35.5599999999999</v>
      </c>
      <c r="BH24" s="28">
        <v>1652.02</v>
      </c>
      <c r="BI24" s="28">
        <f>BJ24-BH24</f>
        <v>47.72</v>
      </c>
      <c r="BJ24" s="28">
        <v>1699.74</v>
      </c>
      <c r="BK24" s="28">
        <f>BL24-BJ24</f>
        <v>34.0999999999999</v>
      </c>
      <c r="BL24" s="28">
        <v>1733.84</v>
      </c>
      <c r="BM24" s="28">
        <f>BN24-BL24</f>
        <v>41.5800000000002</v>
      </c>
      <c r="BN24" s="28">
        <v>1775.42</v>
      </c>
      <c r="BO24" s="28">
        <f>BP24-BN24</f>
        <v>41.6799999999998</v>
      </c>
      <c r="BP24" s="28">
        <v>1817.1</v>
      </c>
      <c r="BQ24" s="28">
        <f>BR24-BP24</f>
        <v>28.2900000000002</v>
      </c>
      <c r="BR24" s="28">
        <v>1845.39</v>
      </c>
      <c r="BS24" s="28">
        <f>BT24-BR24</f>
        <v>31.1699999999998</v>
      </c>
      <c r="BT24" s="28">
        <v>1876.56</v>
      </c>
      <c r="BU24" s="28">
        <f>BV24-BT24</f>
        <v>31.27</v>
      </c>
      <c r="BV24" s="28">
        <v>1907.83</v>
      </c>
      <c r="BW24" s="28">
        <f>BX24-BV24</f>
        <v>38.53</v>
      </c>
      <c r="BX24" s="28">
        <v>1946.36</v>
      </c>
      <c r="BY24" s="28">
        <f>BZ24-BX24</f>
        <v>28.5400000000002</v>
      </c>
      <c r="BZ24" s="28">
        <v>1974.9</v>
      </c>
      <c r="CA24" s="28">
        <f>CB24-BZ24</f>
        <v>15.3499999999999</v>
      </c>
      <c r="CB24" s="28">
        <v>1990.25</v>
      </c>
      <c r="CC24" s="28">
        <f>CD24-CB24</f>
        <v>65.8699999999999</v>
      </c>
      <c r="CD24" s="28">
        <v>2056.12</v>
      </c>
      <c r="CE24" s="28">
        <f>CF24-CD24</f>
        <v>22.29</v>
      </c>
      <c r="CF24" s="28">
        <v>2078.41</v>
      </c>
      <c r="CG24" s="28">
        <f>CH24-CF24</f>
        <v>42.4700000000003</v>
      </c>
      <c r="CH24" s="28">
        <v>2120.88</v>
      </c>
      <c r="CI24" s="28">
        <f>CJ24-CH24</f>
        <v>31.0099999999998</v>
      </c>
      <c r="CJ24" s="28">
        <v>2151.89</v>
      </c>
      <c r="CK24" s="28">
        <f>CL24-CJ24</f>
        <v>75.6600000000003</v>
      </c>
      <c r="CL24" s="28">
        <v>2227.55</v>
      </c>
      <c r="CM24" s="28">
        <f>CN24-CL24</f>
        <v>9.57999999999993</v>
      </c>
      <c r="CN24" s="28">
        <v>2237.13</v>
      </c>
      <c r="CO24" s="28">
        <f>CP24-CN24</f>
        <v>44.8099999999999</v>
      </c>
      <c r="CP24" s="28">
        <v>2281.94</v>
      </c>
      <c r="CQ24" s="28">
        <f>CR24-CP24</f>
        <v>35</v>
      </c>
      <c r="CR24" s="28">
        <v>2316.94</v>
      </c>
      <c r="CS24" s="28">
        <f>CT24-CR24</f>
        <v>59.8200000000002</v>
      </c>
      <c r="CT24" s="28">
        <v>2376.76</v>
      </c>
      <c r="CU24" s="28">
        <f>CV24-CT24</f>
        <v>42.6299999999997</v>
      </c>
      <c r="CV24" s="28">
        <v>2419.39</v>
      </c>
      <c r="CW24" s="27">
        <f>CX24-CV24</f>
        <v>47.4200000000001</v>
      </c>
      <c r="CX24" s="28">
        <v>2466.81</v>
      </c>
      <c r="CY24" s="28">
        <f>CZ24-CX24</f>
        <v>56.21</v>
      </c>
      <c r="CZ24" s="28">
        <v>2523.02</v>
      </c>
      <c r="DA24" s="28">
        <f>DB24-CZ24</f>
        <v>17.04</v>
      </c>
      <c r="DB24" s="28">
        <v>2540.06</v>
      </c>
      <c r="DC24" s="28">
        <f>DD24-DB24</f>
        <v>46.29</v>
      </c>
      <c r="DD24" s="28">
        <v>2586.35</v>
      </c>
      <c r="DE24" s="28">
        <f>DF24-DD24</f>
        <v>53.6300000000001</v>
      </c>
      <c r="DF24" s="28">
        <v>2639.98</v>
      </c>
      <c r="DG24" s="28">
        <f>DH24-DF24</f>
        <v>36.5500000000002</v>
      </c>
      <c r="DH24" s="28">
        <v>2676.53</v>
      </c>
      <c r="DI24" s="28">
        <f>DJ24-DH24</f>
        <v>42.3599999999997</v>
      </c>
      <c r="DJ24" s="28">
        <v>2718.89</v>
      </c>
      <c r="DK24" s="28">
        <f>DL24-DJ24</f>
        <v>33.8499999999999</v>
      </c>
      <c r="DL24" s="28">
        <v>2752.74</v>
      </c>
      <c r="DM24" s="28">
        <f>DN24-DL24</f>
        <v>30.1100000000001</v>
      </c>
      <c r="DN24" s="28">
        <v>2782.85</v>
      </c>
      <c r="DO24" s="27">
        <f>DP24-DN24</f>
        <v>27.9900000000002</v>
      </c>
      <c r="DP24" s="28">
        <v>2810.84</v>
      </c>
      <c r="DQ24" s="28">
        <f>DR24-DP24</f>
        <v>39.1199999999999</v>
      </c>
      <c r="DR24" s="28">
        <v>2849.96</v>
      </c>
      <c r="DS24" s="28">
        <f>DT24-DR24</f>
        <v>32.6300000000001</v>
      </c>
      <c r="DT24" s="28">
        <v>2882.59</v>
      </c>
      <c r="DU24" s="28">
        <f>DV24-DT24</f>
        <v>41.8699999999999</v>
      </c>
      <c r="DV24" s="28">
        <v>2924.46</v>
      </c>
      <c r="DW24" s="28">
        <f>DX24-DV24</f>
        <v>31.9699999999998</v>
      </c>
      <c r="DX24" s="28">
        <v>2956.43</v>
      </c>
      <c r="DY24" s="28">
        <f>DZ24-DX24</f>
        <v>29.8200000000002</v>
      </c>
      <c r="DZ24" s="28">
        <v>2986.25</v>
      </c>
      <c r="EA24" s="28">
        <f>EB24-DZ24</f>
        <v>21.0100000000002</v>
      </c>
      <c r="EB24" s="28">
        <v>3007.26</v>
      </c>
      <c r="EC24" s="28">
        <f>ED24-EB24</f>
        <v>56.2799999999997</v>
      </c>
      <c r="ED24" s="28">
        <v>3063.54</v>
      </c>
      <c r="EE24" s="28">
        <f>EF24-ED24</f>
        <v>23.4900000000002</v>
      </c>
      <c r="EF24" s="28">
        <v>3087.03</v>
      </c>
      <c r="EG24" s="28">
        <f>EH24-EF24</f>
        <v>77.02</v>
      </c>
      <c r="EH24" s="28">
        <v>3164.05</v>
      </c>
      <c r="EI24" s="28">
        <f>EJ24-EH24</f>
        <v>22.7999999999997</v>
      </c>
      <c r="EJ24" s="28">
        <v>3186.85</v>
      </c>
      <c r="EK24" s="28">
        <f>EL24-EJ24</f>
        <v>52.3800000000001</v>
      </c>
      <c r="EL24" s="28">
        <v>3239.23</v>
      </c>
      <c r="EM24" s="28">
        <f>EN24-EL24</f>
        <v>64.3200000000002</v>
      </c>
      <c r="EN24" s="28">
        <v>3303.55</v>
      </c>
      <c r="EO24" s="28">
        <f>EP24-EN24</f>
        <v>13.5899999999997</v>
      </c>
      <c r="EP24" s="28">
        <v>3317.14</v>
      </c>
      <c r="EQ24" s="28">
        <f>ER24-EP24</f>
        <v>65.5</v>
      </c>
      <c r="ER24" s="28">
        <v>3382.64</v>
      </c>
      <c r="ES24" s="28">
        <f>ET24-ER24</f>
        <v>78.1700000000001</v>
      </c>
      <c r="ET24" s="28">
        <v>3460.81</v>
      </c>
      <c r="EU24" s="28">
        <f>EV24-ET24</f>
        <v>40.2200000000003</v>
      </c>
      <c r="EV24" s="28">
        <v>3501.03</v>
      </c>
      <c r="EW24" s="28">
        <f>EX24-EV24</f>
        <v>45.0899999999997</v>
      </c>
      <c r="EX24" s="28">
        <v>3546.12</v>
      </c>
      <c r="EY24" s="28">
        <f>EZ24-EX24</f>
        <v>20.9700000000003</v>
      </c>
      <c r="EZ24" s="28">
        <v>3567.09</v>
      </c>
      <c r="FA24" s="28">
        <f>FB24-EZ24</f>
        <v>19.1299999999997</v>
      </c>
      <c r="FB24" s="28">
        <v>3586.22</v>
      </c>
      <c r="FC24" s="28">
        <f>FD24-FB24</f>
        <v>17.1800000000003</v>
      </c>
      <c r="FD24" s="28">
        <v>3603.4</v>
      </c>
      <c r="FE24" s="28">
        <f>FF24-FD24</f>
        <v>122.9</v>
      </c>
      <c r="FF24" s="28">
        <v>3726.3</v>
      </c>
      <c r="FG24" s="28">
        <f>FH24-FF24</f>
        <v>47.3799999999997</v>
      </c>
      <c r="FH24" s="27">
        <v>3773.68</v>
      </c>
      <c r="FI24" s="28">
        <f>FJ24-FH24</f>
        <v>21.7000000000003</v>
      </c>
      <c r="FJ24" s="28">
        <v>3795.38</v>
      </c>
      <c r="FK24" s="27" t="s">
        <v>114</v>
      </c>
      <c r="FL24" s="26">
        <v>587.61</v>
      </c>
      <c r="FM24" s="26" t="s">
        <v>112</v>
      </c>
      <c r="FN24" s="26">
        <v>303.44</v>
      </c>
      <c r="FO24" s="8"/>
      <c r="FP24" s="8"/>
      <c r="FQ24" s="8"/>
      <c r="FR24" s="26">
        <f>2.3635/(FJ24/FL24)</f>
        <v>0.365922841718089</v>
      </c>
      <c r="FS24" s="26">
        <f>BP24-D24</f>
        <v>1817.1</v>
      </c>
      <c r="FT24" s="26">
        <f>FJ24-FB24</f>
        <v>209.16</v>
      </c>
    </row>
    <row r="27" spans="1:176">
      <c r="A27" t="s">
        <v>155</v>
      </c>
      <c r="B27" t="s">
        <v>156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30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</row>
    <row r="28" spans="1:176">
      <c r="A28" t="s">
        <v>157</v>
      </c>
      <c r="B28" t="s">
        <v>158</v>
      </c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30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</row>
    <row r="29" spans="1:176">
      <c r="A29" t="s">
        <v>135</v>
      </c>
      <c r="B29" t="s">
        <v>159</v>
      </c>
    </row>
    <row r="30" spans="1:176">
      <c r="A30" t="s">
        <v>116</v>
      </c>
      <c r="B30" t="s">
        <v>160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30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</row>
    <row r="31" spans="1:176">
      <c r="A31" t="s">
        <v>108</v>
      </c>
      <c r="B31" t="s">
        <v>161</v>
      </c>
    </row>
    <row r="32" spans="1:176">
      <c r="A32" t="s">
        <v>129</v>
      </c>
      <c r="B32" t="s">
        <v>162</v>
      </c>
    </row>
    <row r="33" spans="1:2">
      <c r="A33" t="s">
        <v>100</v>
      </c>
      <c r="B33" t="s">
        <v>163</v>
      </c>
    </row>
    <row r="34" spans="1:2">
      <c r="A34" t="s">
        <v>104</v>
      </c>
      <c r="B34" t="s">
        <v>164</v>
      </c>
    </row>
    <row r="35" spans="1:2">
      <c r="A35" t="s">
        <v>165</v>
      </c>
      <c r="B35" t="s">
        <v>166</v>
      </c>
    </row>
    <row r="36" spans="1:2">
      <c r="A36" t="s">
        <v>167</v>
      </c>
      <c r="B36" t="s">
        <v>168</v>
      </c>
    </row>
  </sheetData>
  <sortState ref="A2:FT24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38"/>
  <sheetViews>
    <sheetView topLeftCell="AP1" workbookViewId="0">
      <selection activeCell="AP28" sqref="AP28"/>
    </sheetView>
  </sheetViews>
  <sheetFormatPr defaultColWidth="9" defaultRowHeight="13.5"/>
  <cols>
    <col min="1" max="1" width="13.375" customWidth="1"/>
    <col min="2" max="2" width="13" customWidth="1"/>
    <col min="3" max="3" width="11.2583333333333" customWidth="1"/>
    <col min="4" max="4" width="12.375" customWidth="1"/>
    <col min="5" max="5" width="12.875" customWidth="1"/>
    <col min="6" max="6" width="13.125" customWidth="1"/>
    <col min="7" max="7" width="11.5" customWidth="1"/>
    <col min="8" max="8" width="12.5" customWidth="1"/>
    <col min="9" max="9" width="12.125" customWidth="1"/>
    <col min="10" max="10" width="14" customWidth="1"/>
    <col min="11" max="11" width="12.125" customWidth="1"/>
    <col min="12" max="12" width="11.375" customWidth="1"/>
    <col min="13" max="52" width="16.125" customWidth="1"/>
    <col min="53" max="53" width="12.7583333333333" customWidth="1"/>
    <col min="54" max="54" width="14" customWidth="1"/>
    <col min="56" max="56" width="11.7583333333333" customWidth="1"/>
  </cols>
  <sheetData>
    <row r="1" spans="1:54">
      <c r="A1" t="s">
        <v>0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  <c r="AT1" t="s">
        <v>213</v>
      </c>
      <c r="AU1" t="s">
        <v>214</v>
      </c>
      <c r="AV1" t="s">
        <v>215</v>
      </c>
      <c r="AW1" t="s">
        <v>216</v>
      </c>
      <c r="AX1" t="s">
        <v>217</v>
      </c>
      <c r="AY1" t="s">
        <v>218</v>
      </c>
      <c r="AZ1" t="s">
        <v>219</v>
      </c>
    </row>
    <row r="2" spans="1:54">
      <c r="A2">
        <v>145</v>
      </c>
      <c r="B2" s="1">
        <v>9020</v>
      </c>
      <c r="C2" s="1">
        <v>8690</v>
      </c>
      <c r="D2" s="1">
        <v>8595</v>
      </c>
      <c r="E2" s="1">
        <v>8790</v>
      </c>
      <c r="F2" s="1">
        <v>8065</v>
      </c>
      <c r="G2" s="2">
        <v>7690</v>
      </c>
      <c r="H2" s="2">
        <v>8275</v>
      </c>
      <c r="I2" s="1">
        <v>8350</v>
      </c>
      <c r="J2" s="2">
        <v>6780</v>
      </c>
      <c r="K2" s="3">
        <v>6975</v>
      </c>
      <c r="L2" s="2">
        <v>9730</v>
      </c>
      <c r="M2" s="1">
        <v>10400</v>
      </c>
      <c r="N2" s="2">
        <v>8745</v>
      </c>
      <c r="O2" s="4">
        <v>6575</v>
      </c>
      <c r="P2" s="1">
        <v>7315</v>
      </c>
      <c r="Q2" s="1">
        <v>7795</v>
      </c>
      <c r="R2" s="1">
        <v>8035</v>
      </c>
      <c r="S2" s="1">
        <v>8660</v>
      </c>
      <c r="T2" s="2">
        <v>7605</v>
      </c>
      <c r="U2" s="1">
        <v>13300</v>
      </c>
      <c r="V2" s="1">
        <v>14100</v>
      </c>
      <c r="W2" s="2">
        <v>13700</v>
      </c>
      <c r="X2" s="2">
        <v>7640</v>
      </c>
      <c r="Y2" s="2">
        <v>6495</v>
      </c>
      <c r="Z2" s="3">
        <v>2380</v>
      </c>
      <c r="AA2" s="1">
        <v>6505</v>
      </c>
      <c r="AB2" s="4">
        <v>3795</v>
      </c>
      <c r="AC2" s="2">
        <v>4645</v>
      </c>
      <c r="AD2" s="1">
        <v>7075</v>
      </c>
      <c r="AE2" s="1">
        <v>6600</v>
      </c>
      <c r="AF2" s="1">
        <v>5330</v>
      </c>
      <c r="AG2" s="1">
        <v>6200</v>
      </c>
      <c r="AH2" s="1">
        <v>5390</v>
      </c>
      <c r="AI2" s="4">
        <v>5520</v>
      </c>
      <c r="AJ2" s="1">
        <v>5400</v>
      </c>
      <c r="AK2" s="1">
        <v>6080</v>
      </c>
      <c r="AL2" s="1">
        <v>7495</v>
      </c>
      <c r="AM2" s="4">
        <v>4725</v>
      </c>
      <c r="AN2" s="1">
        <v>5205</v>
      </c>
      <c r="AO2" s="4">
        <v>4350</v>
      </c>
      <c r="AP2" s="4">
        <v>6305</v>
      </c>
      <c r="AQ2" s="4">
        <v>5440</v>
      </c>
      <c r="AR2" s="1">
        <v>7160</v>
      </c>
      <c r="AS2" s="1">
        <v>7920</v>
      </c>
      <c r="AT2" s="1">
        <v>6240</v>
      </c>
      <c r="AU2" s="4">
        <v>6375</v>
      </c>
      <c r="AV2" s="4">
        <v>5125</v>
      </c>
      <c r="AW2" s="1">
        <v>5735</v>
      </c>
      <c r="AX2" s="4">
        <v>6360</v>
      </c>
      <c r="AY2" s="1">
        <v>6865</v>
      </c>
      <c r="AZ2" s="5">
        <f>SUM(A2:AY2)</f>
        <v>361690</v>
      </c>
      <c r="BB2">
        <v>145</v>
      </c>
    </row>
    <row r="3" spans="1:54">
      <c r="A3">
        <v>146</v>
      </c>
      <c r="B3" s="3">
        <v>7805</v>
      </c>
      <c r="C3" s="3">
        <v>6130</v>
      </c>
      <c r="D3" s="2">
        <v>6245</v>
      </c>
      <c r="E3" s="3">
        <v>6920</v>
      </c>
      <c r="F3" s="2">
        <v>7270</v>
      </c>
      <c r="G3" s="1">
        <v>7835</v>
      </c>
      <c r="H3" s="3">
        <v>6500</v>
      </c>
      <c r="I3" s="2">
        <v>7410</v>
      </c>
      <c r="J3" s="1">
        <v>7845</v>
      </c>
      <c r="K3" s="2">
        <v>7780</v>
      </c>
      <c r="L3" s="3">
        <v>5270</v>
      </c>
      <c r="M3" s="3">
        <v>6045</v>
      </c>
      <c r="N3" s="3">
        <v>6400</v>
      </c>
      <c r="O3" s="3">
        <v>5610</v>
      </c>
      <c r="P3" s="3">
        <v>4865</v>
      </c>
      <c r="Q3" s="3">
        <v>4825</v>
      </c>
      <c r="R3" s="3">
        <v>6510</v>
      </c>
      <c r="S3" s="3">
        <v>6050</v>
      </c>
      <c r="T3" s="3">
        <v>5730</v>
      </c>
      <c r="U3" s="3">
        <v>5730</v>
      </c>
      <c r="V3" s="6">
        <v>4285</v>
      </c>
      <c r="W3" s="5">
        <v>4160</v>
      </c>
      <c r="X3" s="3">
        <v>4135</v>
      </c>
      <c r="Y3" s="3">
        <v>4060</v>
      </c>
      <c r="Z3" s="2">
        <v>3155</v>
      </c>
      <c r="AA3" s="3">
        <v>3065</v>
      </c>
      <c r="AB3" s="5">
        <v>3120</v>
      </c>
      <c r="AC3" s="5">
        <v>3175</v>
      </c>
      <c r="AD3" s="3">
        <v>3085</v>
      </c>
      <c r="AE3" s="3">
        <v>3000</v>
      </c>
      <c r="AF3" s="4">
        <v>3045</v>
      </c>
      <c r="AG3" s="3">
        <v>3025</v>
      </c>
      <c r="AH3" s="3">
        <v>3065</v>
      </c>
      <c r="AI3" s="3">
        <v>3045</v>
      </c>
      <c r="AJ3" s="5">
        <v>2340</v>
      </c>
      <c r="AK3" s="3">
        <v>3045</v>
      </c>
      <c r="AL3" s="3">
        <v>3035</v>
      </c>
      <c r="AM3" s="5">
        <v>1355</v>
      </c>
      <c r="AN3" s="5">
        <v>1305</v>
      </c>
      <c r="AO3" s="5">
        <v>1260</v>
      </c>
      <c r="AP3" s="5">
        <v>980</v>
      </c>
      <c r="AQ3" s="5">
        <v>1465</v>
      </c>
      <c r="AR3" s="5">
        <v>1005</v>
      </c>
      <c r="AS3" s="5">
        <v>1390</v>
      </c>
      <c r="AT3" s="5">
        <v>1275</v>
      </c>
      <c r="AU3" s="5">
        <v>1530</v>
      </c>
      <c r="AV3" s="3">
        <v>2035</v>
      </c>
      <c r="AW3" s="5">
        <v>1005</v>
      </c>
      <c r="AX3" s="5">
        <v>1085</v>
      </c>
      <c r="AY3" s="5">
        <v>1515</v>
      </c>
      <c r="AZ3" s="5">
        <f t="shared" ref="AZ3:AZ9" si="0">SUM(A3:AY3)</f>
        <v>201966</v>
      </c>
      <c r="BB3">
        <v>146</v>
      </c>
    </row>
    <row r="4" spans="1:54">
      <c r="A4">
        <v>147</v>
      </c>
      <c r="B4">
        <v>340</v>
      </c>
      <c r="C4">
        <v>320</v>
      </c>
      <c r="D4">
        <v>440</v>
      </c>
      <c r="E4">
        <v>845</v>
      </c>
      <c r="F4">
        <v>715</v>
      </c>
      <c r="G4">
        <v>600</v>
      </c>
      <c r="H4">
        <v>725</v>
      </c>
      <c r="I4">
        <v>540</v>
      </c>
      <c r="J4">
        <v>465</v>
      </c>
      <c r="K4">
        <v>570</v>
      </c>
      <c r="L4">
        <v>790</v>
      </c>
      <c r="M4">
        <v>290</v>
      </c>
      <c r="N4">
        <v>180</v>
      </c>
      <c r="O4">
        <v>240</v>
      </c>
      <c r="P4">
        <v>200</v>
      </c>
      <c r="Q4">
        <v>565</v>
      </c>
      <c r="R4">
        <v>940</v>
      </c>
      <c r="S4">
        <v>555</v>
      </c>
      <c r="T4">
        <v>205</v>
      </c>
      <c r="U4">
        <v>855</v>
      </c>
      <c r="V4" s="6">
        <v>1620</v>
      </c>
      <c r="W4" s="5">
        <v>1810</v>
      </c>
      <c r="X4" s="5">
        <v>1260</v>
      </c>
      <c r="Y4" s="5">
        <v>965</v>
      </c>
      <c r="Z4" s="5">
        <v>95</v>
      </c>
      <c r="AA4" s="6">
        <v>215</v>
      </c>
      <c r="AB4" s="5">
        <v>585</v>
      </c>
      <c r="AC4" s="5">
        <v>80</v>
      </c>
      <c r="AD4" s="5">
        <v>410</v>
      </c>
      <c r="AE4" s="5">
        <v>75</v>
      </c>
      <c r="AF4" s="5">
        <v>130</v>
      </c>
      <c r="AG4" s="5">
        <v>175</v>
      </c>
      <c r="AH4" s="5">
        <v>150</v>
      </c>
      <c r="AI4" s="5">
        <v>95</v>
      </c>
      <c r="AJ4" s="5">
        <v>165</v>
      </c>
      <c r="AK4" s="5">
        <v>260</v>
      </c>
      <c r="AL4" s="5">
        <v>155</v>
      </c>
      <c r="AM4" s="5">
        <v>80</v>
      </c>
      <c r="AN4" s="5">
        <v>130</v>
      </c>
      <c r="AO4" s="5">
        <v>130</v>
      </c>
      <c r="AP4" s="5">
        <v>200</v>
      </c>
      <c r="AQ4" s="5">
        <v>105</v>
      </c>
      <c r="AR4" s="5">
        <v>60</v>
      </c>
      <c r="AS4" s="5">
        <v>145</v>
      </c>
      <c r="AT4" s="5">
        <v>90</v>
      </c>
      <c r="AU4" s="5">
        <v>45</v>
      </c>
      <c r="AV4" s="5">
        <v>75</v>
      </c>
      <c r="AW4" s="5">
        <v>75</v>
      </c>
      <c r="AX4" s="5">
        <v>30</v>
      </c>
      <c r="AY4" s="5">
        <v>40</v>
      </c>
      <c r="AZ4" s="5">
        <f t="shared" si="0"/>
        <v>19977</v>
      </c>
      <c r="BB4">
        <v>147</v>
      </c>
    </row>
    <row r="5" spans="1:54">
      <c r="A5">
        <v>148</v>
      </c>
      <c r="B5" s="2">
        <v>8925</v>
      </c>
      <c r="C5" s="2">
        <v>7175</v>
      </c>
      <c r="D5" s="3">
        <v>5825</v>
      </c>
      <c r="E5" s="2">
        <v>7975</v>
      </c>
      <c r="F5" s="3">
        <v>4970</v>
      </c>
      <c r="G5" s="3">
        <v>5710</v>
      </c>
      <c r="H5" s="1">
        <v>8710</v>
      </c>
      <c r="I5" s="3">
        <v>6710</v>
      </c>
      <c r="J5" s="3">
        <v>6625</v>
      </c>
      <c r="K5" s="1">
        <v>9265</v>
      </c>
      <c r="L5" s="1">
        <v>10700</v>
      </c>
      <c r="M5" s="2">
        <v>6730</v>
      </c>
      <c r="N5" s="1">
        <v>10800</v>
      </c>
      <c r="O5" s="1">
        <v>6725</v>
      </c>
      <c r="P5" s="2">
        <v>5865</v>
      </c>
      <c r="Q5" s="2">
        <v>6485</v>
      </c>
      <c r="R5" s="2">
        <v>7090</v>
      </c>
      <c r="S5" s="2">
        <v>7160</v>
      </c>
      <c r="T5" s="1">
        <v>8815</v>
      </c>
      <c r="U5" s="2">
        <v>11600</v>
      </c>
      <c r="V5" s="2">
        <v>12700</v>
      </c>
      <c r="W5" s="1">
        <v>14500</v>
      </c>
      <c r="X5" s="1">
        <v>9195</v>
      </c>
      <c r="Y5" s="1">
        <v>8045</v>
      </c>
      <c r="Z5" s="1">
        <v>3920</v>
      </c>
      <c r="AA5" s="4">
        <v>5050</v>
      </c>
      <c r="AB5" s="1">
        <v>4195</v>
      </c>
      <c r="AC5" s="1">
        <v>4760</v>
      </c>
      <c r="AD5" s="2">
        <v>5130</v>
      </c>
      <c r="AE5" s="4">
        <v>4690</v>
      </c>
      <c r="AF5" s="3">
        <v>2455</v>
      </c>
      <c r="AG5" s="4">
        <v>5020</v>
      </c>
      <c r="AH5" s="4">
        <v>4075</v>
      </c>
      <c r="AI5" s="1">
        <v>5875</v>
      </c>
      <c r="AJ5" s="4">
        <v>4695</v>
      </c>
      <c r="AK5" s="4">
        <v>5490</v>
      </c>
      <c r="AL5" s="4">
        <v>5245</v>
      </c>
      <c r="AM5" s="1">
        <v>5785</v>
      </c>
      <c r="AN5" s="4">
        <v>5150</v>
      </c>
      <c r="AO5" s="1">
        <v>6970</v>
      </c>
      <c r="AP5" s="1">
        <v>6935</v>
      </c>
      <c r="AQ5" s="1">
        <v>5845</v>
      </c>
      <c r="AR5" s="4">
        <v>5390</v>
      </c>
      <c r="AS5" s="4">
        <v>4360</v>
      </c>
      <c r="AT5" s="4">
        <v>5495</v>
      </c>
      <c r="AU5" s="1">
        <v>8060</v>
      </c>
      <c r="AV5" s="1">
        <v>6060</v>
      </c>
      <c r="AW5" s="4">
        <v>4560</v>
      </c>
      <c r="AX5" s="1">
        <v>7880</v>
      </c>
      <c r="AY5" s="4">
        <v>5510</v>
      </c>
      <c r="AZ5" s="5">
        <f t="shared" si="0"/>
        <v>337048</v>
      </c>
      <c r="BB5">
        <v>148</v>
      </c>
    </row>
    <row r="6" spans="1:54">
      <c r="A6">
        <v>149</v>
      </c>
      <c r="B6">
        <v>2230</v>
      </c>
      <c r="C6">
        <v>1955</v>
      </c>
      <c r="D6">
        <v>1950</v>
      </c>
      <c r="E6">
        <v>2005</v>
      </c>
      <c r="F6">
        <v>1010</v>
      </c>
      <c r="G6">
        <v>1935</v>
      </c>
      <c r="H6">
        <v>1940</v>
      </c>
      <c r="I6">
        <v>1975</v>
      </c>
      <c r="J6">
        <v>1675</v>
      </c>
      <c r="K6">
        <v>1845</v>
      </c>
      <c r="L6">
        <v>1920</v>
      </c>
      <c r="M6">
        <v>1765</v>
      </c>
      <c r="N6">
        <v>1815</v>
      </c>
      <c r="O6">
        <v>2100</v>
      </c>
      <c r="P6">
        <v>1880</v>
      </c>
      <c r="Q6">
        <v>1740</v>
      </c>
      <c r="R6">
        <v>1770</v>
      </c>
      <c r="S6">
        <v>1615</v>
      </c>
      <c r="T6">
        <v>1345</v>
      </c>
      <c r="U6">
        <v>1875</v>
      </c>
      <c r="V6" s="6">
        <v>1785</v>
      </c>
      <c r="W6" s="5">
        <v>1805</v>
      </c>
      <c r="X6" s="5">
        <v>1045</v>
      </c>
      <c r="Y6" s="5">
        <v>1390</v>
      </c>
      <c r="Z6" s="5">
        <v>1470</v>
      </c>
      <c r="AA6" s="5">
        <v>1100</v>
      </c>
      <c r="AB6" s="5">
        <v>1560</v>
      </c>
      <c r="AC6" s="5">
        <v>1455</v>
      </c>
      <c r="AD6" s="5">
        <v>1430</v>
      </c>
      <c r="AE6" s="5">
        <v>1350</v>
      </c>
      <c r="AF6" s="5">
        <v>1595</v>
      </c>
      <c r="AG6" s="5">
        <v>1580</v>
      </c>
      <c r="AH6" s="5">
        <v>1080</v>
      </c>
      <c r="AI6" s="5">
        <v>1420</v>
      </c>
      <c r="AJ6" s="5">
        <v>1020</v>
      </c>
      <c r="AK6" s="5">
        <v>1480</v>
      </c>
      <c r="AL6" s="5">
        <v>660</v>
      </c>
      <c r="AM6" s="5">
        <v>1110</v>
      </c>
      <c r="AN6" s="5">
        <v>1595</v>
      </c>
      <c r="AO6" s="5">
        <v>975</v>
      </c>
      <c r="AP6" s="5">
        <v>1560</v>
      </c>
      <c r="AQ6" s="5">
        <v>1030</v>
      </c>
      <c r="AR6" s="5">
        <v>775</v>
      </c>
      <c r="AS6" s="5">
        <v>995</v>
      </c>
      <c r="AT6" s="5">
        <v>895</v>
      </c>
      <c r="AU6" s="5">
        <v>1060</v>
      </c>
      <c r="AV6" s="5">
        <v>1615</v>
      </c>
      <c r="AW6" s="5">
        <v>1060</v>
      </c>
      <c r="AX6" s="5">
        <v>1145</v>
      </c>
      <c r="AY6" s="5">
        <v>1050</v>
      </c>
      <c r="AZ6" s="5">
        <f t="shared" si="0"/>
        <v>74584</v>
      </c>
      <c r="BB6">
        <v>149</v>
      </c>
    </row>
    <row r="7" spans="1:54">
      <c r="A7">
        <v>150</v>
      </c>
      <c r="B7">
        <v>1670</v>
      </c>
      <c r="C7">
        <v>1795</v>
      </c>
      <c r="D7">
        <v>1075</v>
      </c>
      <c r="E7">
        <v>2760</v>
      </c>
      <c r="F7">
        <v>2935</v>
      </c>
      <c r="G7">
        <v>2325</v>
      </c>
      <c r="H7">
        <v>2505</v>
      </c>
      <c r="I7">
        <v>2615</v>
      </c>
      <c r="J7">
        <v>3140</v>
      </c>
      <c r="K7">
        <v>1585</v>
      </c>
      <c r="L7">
        <v>2595</v>
      </c>
      <c r="M7">
        <v>1535</v>
      </c>
      <c r="N7">
        <v>2415</v>
      </c>
      <c r="O7">
        <v>2825</v>
      </c>
      <c r="P7">
        <v>2560</v>
      </c>
      <c r="Q7">
        <v>2565</v>
      </c>
      <c r="R7">
        <v>2975</v>
      </c>
      <c r="S7">
        <v>1415</v>
      </c>
      <c r="T7">
        <v>2295</v>
      </c>
      <c r="U7">
        <v>3210</v>
      </c>
      <c r="V7" s="6">
        <v>3850</v>
      </c>
      <c r="W7" s="5">
        <v>3330</v>
      </c>
      <c r="X7" s="5">
        <v>3405</v>
      </c>
      <c r="Y7" s="5">
        <v>2055</v>
      </c>
      <c r="Z7" s="5">
        <v>695</v>
      </c>
      <c r="AA7" s="5">
        <v>595</v>
      </c>
      <c r="AB7" s="5">
        <v>1195</v>
      </c>
      <c r="AC7" s="5">
        <v>660</v>
      </c>
      <c r="AD7" s="5">
        <v>1195</v>
      </c>
      <c r="AE7" s="5">
        <v>1385</v>
      </c>
      <c r="AF7" s="5">
        <v>1055</v>
      </c>
      <c r="AG7" s="5">
        <v>725</v>
      </c>
      <c r="AH7" s="5">
        <v>660</v>
      </c>
      <c r="AI7" s="5">
        <v>830</v>
      </c>
      <c r="AJ7" s="5">
        <v>1420</v>
      </c>
      <c r="AK7" s="5">
        <v>1275</v>
      </c>
      <c r="AL7" s="5">
        <v>640</v>
      </c>
      <c r="AM7" s="5">
        <v>485</v>
      </c>
      <c r="AN7" s="5">
        <v>680</v>
      </c>
      <c r="AO7" s="5">
        <v>1030</v>
      </c>
      <c r="AP7" s="5">
        <v>1520</v>
      </c>
      <c r="AQ7" s="5">
        <v>1515</v>
      </c>
      <c r="AR7" s="5">
        <v>1775</v>
      </c>
      <c r="AS7" s="5">
        <v>1260</v>
      </c>
      <c r="AT7" s="5">
        <v>1710</v>
      </c>
      <c r="AU7" s="5">
        <v>565</v>
      </c>
      <c r="AV7" s="5">
        <v>1275</v>
      </c>
      <c r="AW7" s="5">
        <v>1095</v>
      </c>
      <c r="AX7" s="5">
        <v>1240</v>
      </c>
      <c r="AY7" s="5">
        <v>1000</v>
      </c>
      <c r="AZ7" s="5">
        <f t="shared" si="0"/>
        <v>87065</v>
      </c>
      <c r="BB7">
        <v>150</v>
      </c>
    </row>
    <row r="8" spans="1:54">
      <c r="A8">
        <v>151</v>
      </c>
      <c r="B8">
        <v>2215</v>
      </c>
      <c r="C8">
        <v>3360</v>
      </c>
      <c r="D8">
        <v>3360</v>
      </c>
      <c r="E8">
        <v>3885</v>
      </c>
      <c r="F8">
        <v>3815</v>
      </c>
      <c r="G8">
        <v>3720</v>
      </c>
      <c r="H8">
        <v>2160</v>
      </c>
      <c r="I8">
        <v>3385</v>
      </c>
      <c r="J8">
        <v>2620</v>
      </c>
      <c r="K8">
        <v>3450</v>
      </c>
      <c r="L8">
        <v>2260</v>
      </c>
      <c r="M8">
        <v>4050</v>
      </c>
      <c r="N8">
        <v>4350</v>
      </c>
      <c r="O8">
        <v>3105</v>
      </c>
      <c r="P8">
        <v>4155</v>
      </c>
      <c r="Q8">
        <v>3375</v>
      </c>
      <c r="R8">
        <v>2460</v>
      </c>
      <c r="S8">
        <v>3240</v>
      </c>
      <c r="T8">
        <v>4130</v>
      </c>
      <c r="U8">
        <v>3400</v>
      </c>
      <c r="V8" s="3">
        <v>4865</v>
      </c>
      <c r="W8" s="3">
        <v>4610</v>
      </c>
      <c r="X8" s="5">
        <v>3200</v>
      </c>
      <c r="Y8" s="5">
        <v>2935</v>
      </c>
      <c r="Z8" s="5">
        <v>2360</v>
      </c>
      <c r="AA8" s="5">
        <v>1915</v>
      </c>
      <c r="AB8" s="3">
        <v>3170</v>
      </c>
      <c r="AC8" s="3">
        <v>3310</v>
      </c>
      <c r="AD8" s="5">
        <v>1700</v>
      </c>
      <c r="AE8" s="5">
        <v>2570</v>
      </c>
      <c r="AF8" s="5">
        <v>2080</v>
      </c>
      <c r="AG8" s="5">
        <v>1770</v>
      </c>
      <c r="AH8" s="5">
        <v>2290</v>
      </c>
      <c r="AI8" s="5">
        <v>2250</v>
      </c>
      <c r="AJ8" s="3">
        <v>3110</v>
      </c>
      <c r="AK8" s="5">
        <v>2370</v>
      </c>
      <c r="AL8" s="5">
        <v>1890</v>
      </c>
      <c r="AM8" s="3">
        <v>2350</v>
      </c>
      <c r="AN8" s="3">
        <v>2825</v>
      </c>
      <c r="AO8" s="3">
        <v>2430</v>
      </c>
      <c r="AP8" s="3">
        <v>2900</v>
      </c>
      <c r="AQ8" s="3">
        <v>2005</v>
      </c>
      <c r="AR8" s="3">
        <v>1980</v>
      </c>
      <c r="AS8" s="3">
        <v>2060</v>
      </c>
      <c r="AT8" s="3">
        <v>2800</v>
      </c>
      <c r="AU8" s="5">
        <v>1880</v>
      </c>
      <c r="AV8" s="5">
        <v>1965</v>
      </c>
      <c r="AW8" s="5">
        <v>1745</v>
      </c>
      <c r="AX8" s="5">
        <v>1975</v>
      </c>
      <c r="AY8" s="3">
        <v>2455</v>
      </c>
      <c r="AZ8" s="5">
        <f t="shared" si="0"/>
        <v>142411</v>
      </c>
      <c r="BB8">
        <v>151</v>
      </c>
    </row>
    <row r="9" spans="1:54">
      <c r="A9">
        <v>152</v>
      </c>
      <c r="B9">
        <v>1550</v>
      </c>
      <c r="C9">
        <v>1445</v>
      </c>
      <c r="D9">
        <v>1320</v>
      </c>
      <c r="E9">
        <v>1475</v>
      </c>
      <c r="F9">
        <v>1785</v>
      </c>
      <c r="G9">
        <v>1670</v>
      </c>
      <c r="H9">
        <v>2000</v>
      </c>
      <c r="I9">
        <v>2410</v>
      </c>
      <c r="J9">
        <v>3170</v>
      </c>
      <c r="K9">
        <v>3400</v>
      </c>
      <c r="L9">
        <v>2105</v>
      </c>
      <c r="M9">
        <v>1695</v>
      </c>
      <c r="N9">
        <v>2140</v>
      </c>
      <c r="O9">
        <v>3395</v>
      </c>
      <c r="P9">
        <v>3125</v>
      </c>
      <c r="Q9">
        <v>3255</v>
      </c>
      <c r="R9">
        <v>1500</v>
      </c>
      <c r="S9">
        <v>2285</v>
      </c>
      <c r="T9">
        <v>1925</v>
      </c>
      <c r="U9">
        <v>3820</v>
      </c>
      <c r="V9" s="6">
        <v>2795</v>
      </c>
      <c r="W9" s="5">
        <v>3320</v>
      </c>
      <c r="X9" s="5">
        <v>3380</v>
      </c>
      <c r="Y9" s="5">
        <v>3020</v>
      </c>
      <c r="Z9" s="5">
        <v>405</v>
      </c>
      <c r="AA9" s="5">
        <v>2185</v>
      </c>
      <c r="AB9" s="5">
        <v>780</v>
      </c>
      <c r="AC9" s="5">
        <v>840</v>
      </c>
      <c r="AD9" s="5">
        <v>835</v>
      </c>
      <c r="AE9" s="5">
        <v>500</v>
      </c>
      <c r="AF9" s="5">
        <v>1185</v>
      </c>
      <c r="AG9" s="5">
        <v>865</v>
      </c>
      <c r="AH9" s="5">
        <v>580</v>
      </c>
      <c r="AI9" s="5">
        <v>1270</v>
      </c>
      <c r="AJ9" s="5">
        <v>810</v>
      </c>
      <c r="AK9" s="5">
        <v>1592</v>
      </c>
      <c r="AL9" s="5">
        <v>1075</v>
      </c>
      <c r="AM9" s="5">
        <v>1005</v>
      </c>
      <c r="AN9" s="5">
        <v>1455</v>
      </c>
      <c r="AO9" s="5">
        <v>730</v>
      </c>
      <c r="AP9" s="5">
        <v>2315</v>
      </c>
      <c r="AQ9" s="5">
        <v>1750</v>
      </c>
      <c r="AR9" s="5">
        <v>1025</v>
      </c>
      <c r="AS9" s="5">
        <v>1520</v>
      </c>
      <c r="AT9" s="5">
        <v>2000</v>
      </c>
      <c r="AU9" s="3">
        <v>2235</v>
      </c>
      <c r="AV9" s="5">
        <v>1375</v>
      </c>
      <c r="AW9" s="3">
        <v>1845</v>
      </c>
      <c r="AX9" s="3">
        <v>2065</v>
      </c>
      <c r="AY9" s="5">
        <v>560</v>
      </c>
      <c r="AZ9" s="5">
        <f t="shared" si="0"/>
        <v>90939</v>
      </c>
      <c r="BB9">
        <v>152</v>
      </c>
    </row>
    <row r="14" spans="1:54">
      <c r="A14" t="s">
        <v>220</v>
      </c>
      <c r="B14">
        <f>SUM(B2:B9)</f>
        <v>33755</v>
      </c>
      <c r="C14">
        <f t="shared" ref="C14:O14" si="1">SUM(C2:C9)</f>
        <v>30870</v>
      </c>
      <c r="D14">
        <f t="shared" si="1"/>
        <v>28810</v>
      </c>
      <c r="E14">
        <f t="shared" si="1"/>
        <v>34655</v>
      </c>
      <c r="F14">
        <f t="shared" si="1"/>
        <v>30565</v>
      </c>
      <c r="G14">
        <f t="shared" si="1"/>
        <v>31485</v>
      </c>
      <c r="H14">
        <f t="shared" si="1"/>
        <v>32815</v>
      </c>
      <c r="I14">
        <f t="shared" si="1"/>
        <v>33395</v>
      </c>
      <c r="J14">
        <f t="shared" si="1"/>
        <v>32320</v>
      </c>
      <c r="K14">
        <f t="shared" si="1"/>
        <v>34870</v>
      </c>
      <c r="L14">
        <f t="shared" si="1"/>
        <v>35370</v>
      </c>
      <c r="M14">
        <f t="shared" si="1"/>
        <v>32510</v>
      </c>
      <c r="N14">
        <f t="shared" si="1"/>
        <v>36845</v>
      </c>
      <c r="O14">
        <f t="shared" si="1"/>
        <v>30575</v>
      </c>
      <c r="P14">
        <f t="shared" ref="P14:AR14" si="2">SUM(P2:P9)</f>
        <v>29965</v>
      </c>
      <c r="Q14">
        <f t="shared" si="2"/>
        <v>30605</v>
      </c>
      <c r="R14">
        <f t="shared" si="2"/>
        <v>31280</v>
      </c>
      <c r="S14">
        <f t="shared" si="2"/>
        <v>30980</v>
      </c>
      <c r="T14">
        <f t="shared" si="2"/>
        <v>32050</v>
      </c>
      <c r="U14">
        <f t="shared" si="2"/>
        <v>43790</v>
      </c>
      <c r="V14">
        <f t="shared" si="2"/>
        <v>46000</v>
      </c>
      <c r="W14">
        <f t="shared" si="2"/>
        <v>47235</v>
      </c>
      <c r="X14">
        <f t="shared" si="2"/>
        <v>33260</v>
      </c>
      <c r="Y14">
        <f t="shared" si="2"/>
        <v>28965</v>
      </c>
      <c r="Z14">
        <f t="shared" si="2"/>
        <v>14480</v>
      </c>
      <c r="AA14">
        <f t="shared" si="2"/>
        <v>20630</v>
      </c>
      <c r="AB14">
        <f t="shared" si="2"/>
        <v>18400</v>
      </c>
      <c r="AC14">
        <f t="shared" si="2"/>
        <v>18925</v>
      </c>
      <c r="AD14">
        <f t="shared" si="2"/>
        <v>20860</v>
      </c>
      <c r="AE14">
        <f t="shared" si="2"/>
        <v>20170</v>
      </c>
      <c r="AF14">
        <f t="shared" si="2"/>
        <v>16875</v>
      </c>
      <c r="AG14">
        <f t="shared" si="2"/>
        <v>19360</v>
      </c>
      <c r="AH14">
        <f t="shared" si="2"/>
        <v>17290</v>
      </c>
      <c r="AI14">
        <f t="shared" si="2"/>
        <v>20305</v>
      </c>
      <c r="AJ14">
        <f t="shared" si="2"/>
        <v>18960</v>
      </c>
      <c r="AK14">
        <f t="shared" si="2"/>
        <v>21592</v>
      </c>
      <c r="AL14">
        <f t="shared" si="2"/>
        <v>20195</v>
      </c>
      <c r="AM14">
        <f t="shared" si="2"/>
        <v>16895</v>
      </c>
      <c r="AN14">
        <f t="shared" si="2"/>
        <v>18345</v>
      </c>
      <c r="AO14">
        <f t="shared" si="2"/>
        <v>17875</v>
      </c>
      <c r="AP14">
        <f t="shared" si="2"/>
        <v>22715</v>
      </c>
      <c r="AQ14">
        <f t="shared" si="2"/>
        <v>19155</v>
      </c>
      <c r="AR14">
        <f t="shared" si="2"/>
        <v>19170</v>
      </c>
      <c r="AS14">
        <f t="shared" ref="AS14:AY14" si="3">SUM(AS2:AS9)</f>
        <v>19650</v>
      </c>
      <c r="AT14">
        <f t="shared" si="3"/>
        <v>20505</v>
      </c>
      <c r="AU14">
        <f t="shared" si="3"/>
        <v>21750</v>
      </c>
      <c r="AV14">
        <f t="shared" si="3"/>
        <v>19525</v>
      </c>
      <c r="AW14">
        <f t="shared" si="3"/>
        <v>17120</v>
      </c>
      <c r="AX14">
        <f t="shared" si="3"/>
        <v>21780</v>
      </c>
      <c r="AY14">
        <f t="shared" si="3"/>
        <v>18995</v>
      </c>
      <c r="AZ14">
        <f>SUM(B14:AY14)</f>
        <v>1314492</v>
      </c>
    </row>
    <row r="18" ht="10" customHeight="1"/>
    <row r="19" spans="1:52">
      <c r="A19" t="s">
        <v>221</v>
      </c>
    </row>
    <row r="20" spans="1:52">
      <c r="A20">
        <v>145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2</v>
      </c>
      <c r="I20">
        <v>1</v>
      </c>
      <c r="J20">
        <v>2</v>
      </c>
      <c r="K20">
        <v>3</v>
      </c>
      <c r="L20">
        <v>2</v>
      </c>
      <c r="M20">
        <v>1</v>
      </c>
      <c r="N20">
        <v>2</v>
      </c>
      <c r="O20">
        <v>2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1</v>
      </c>
      <c r="W20">
        <v>2</v>
      </c>
      <c r="X20">
        <v>2</v>
      </c>
      <c r="Y20">
        <v>2</v>
      </c>
      <c r="Z20">
        <v>3</v>
      </c>
      <c r="AA20">
        <v>1</v>
      </c>
      <c r="AB20">
        <v>2</v>
      </c>
      <c r="AC20">
        <v>2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2</v>
      </c>
      <c r="AJ20">
        <v>1</v>
      </c>
      <c r="AK20">
        <v>1</v>
      </c>
      <c r="AL20">
        <v>1</v>
      </c>
      <c r="AM20">
        <v>2</v>
      </c>
      <c r="AN20">
        <v>1</v>
      </c>
      <c r="AO20">
        <v>2</v>
      </c>
      <c r="AP20">
        <v>2</v>
      </c>
      <c r="AQ20">
        <v>2</v>
      </c>
      <c r="AR20">
        <v>1</v>
      </c>
      <c r="AS20">
        <v>1</v>
      </c>
      <c r="AT20">
        <v>1</v>
      </c>
      <c r="AU20">
        <v>2</v>
      </c>
      <c r="AV20">
        <v>2</v>
      </c>
      <c r="AW20">
        <v>1</v>
      </c>
      <c r="AX20">
        <v>2</v>
      </c>
      <c r="AY20">
        <v>1</v>
      </c>
    </row>
    <row r="21" spans="1:52">
      <c r="A21">
        <v>146</v>
      </c>
      <c r="B21">
        <v>3</v>
      </c>
      <c r="C21">
        <v>3</v>
      </c>
      <c r="D21">
        <v>2</v>
      </c>
      <c r="E21">
        <v>3</v>
      </c>
      <c r="F21">
        <v>2</v>
      </c>
      <c r="G21">
        <v>1</v>
      </c>
      <c r="H21">
        <v>3</v>
      </c>
      <c r="I21">
        <v>2</v>
      </c>
      <c r="J21">
        <v>1</v>
      </c>
      <c r="K21">
        <v>2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4</v>
      </c>
      <c r="X21">
        <v>3</v>
      </c>
      <c r="Y21">
        <v>3</v>
      </c>
      <c r="Z21">
        <v>2</v>
      </c>
      <c r="AA21">
        <v>3</v>
      </c>
      <c r="AB21">
        <v>4</v>
      </c>
      <c r="AC21">
        <v>4</v>
      </c>
      <c r="AD21">
        <v>3</v>
      </c>
      <c r="AE21">
        <v>3</v>
      </c>
      <c r="AF21">
        <v>2</v>
      </c>
      <c r="AG21">
        <v>3</v>
      </c>
      <c r="AH21">
        <v>3</v>
      </c>
      <c r="AI21">
        <v>3</v>
      </c>
      <c r="AJ21">
        <v>4</v>
      </c>
      <c r="AK21">
        <v>3</v>
      </c>
      <c r="AL21">
        <v>3</v>
      </c>
      <c r="AM21">
        <v>4</v>
      </c>
      <c r="AN21">
        <v>6</v>
      </c>
      <c r="AO21">
        <v>4</v>
      </c>
      <c r="AP21">
        <v>7</v>
      </c>
      <c r="AQ21">
        <v>6</v>
      </c>
      <c r="AR21">
        <v>6</v>
      </c>
      <c r="AS21">
        <v>5</v>
      </c>
      <c r="AT21">
        <v>6</v>
      </c>
      <c r="AU21">
        <v>5</v>
      </c>
      <c r="AV21">
        <v>3</v>
      </c>
      <c r="AW21">
        <v>7</v>
      </c>
      <c r="AX21">
        <v>7</v>
      </c>
      <c r="AY21">
        <v>4</v>
      </c>
    </row>
    <row r="22" spans="1:52">
      <c r="A22">
        <v>147</v>
      </c>
      <c r="B22">
        <v>8</v>
      </c>
      <c r="C22">
        <v>8</v>
      </c>
      <c r="D22">
        <v>8</v>
      </c>
      <c r="E22">
        <v>8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>
        <v>8</v>
      </c>
      <c r="M22">
        <v>8</v>
      </c>
      <c r="N22">
        <v>8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8</v>
      </c>
      <c r="W22">
        <v>7</v>
      </c>
      <c r="X22">
        <v>7</v>
      </c>
      <c r="Y22">
        <v>8</v>
      </c>
      <c r="Z22">
        <v>8</v>
      </c>
      <c r="AA22">
        <v>8</v>
      </c>
      <c r="AB22">
        <v>8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>
        <v>8</v>
      </c>
      <c r="AJ22">
        <v>8</v>
      </c>
      <c r="AK22">
        <v>8</v>
      </c>
      <c r="AL22">
        <v>8</v>
      </c>
      <c r="AM22">
        <v>8</v>
      </c>
      <c r="AN22">
        <v>8</v>
      </c>
      <c r="AO22">
        <v>8</v>
      </c>
      <c r="AP22">
        <v>8</v>
      </c>
      <c r="AQ22">
        <v>8</v>
      </c>
      <c r="AR22">
        <v>8</v>
      </c>
      <c r="AS22">
        <v>8</v>
      </c>
      <c r="AT22">
        <v>8</v>
      </c>
      <c r="AU22">
        <v>8</v>
      </c>
      <c r="AV22">
        <v>8</v>
      </c>
      <c r="AW22">
        <v>8</v>
      </c>
      <c r="AX22">
        <v>8</v>
      </c>
      <c r="AY22">
        <v>8</v>
      </c>
    </row>
    <row r="23" spans="1:52">
      <c r="A23">
        <v>148</v>
      </c>
      <c r="B23">
        <v>2</v>
      </c>
      <c r="C23">
        <v>2</v>
      </c>
      <c r="D23">
        <v>3</v>
      </c>
      <c r="E23">
        <v>2</v>
      </c>
      <c r="F23">
        <v>3</v>
      </c>
      <c r="G23">
        <v>3</v>
      </c>
      <c r="H23">
        <v>1</v>
      </c>
      <c r="I23">
        <v>3</v>
      </c>
      <c r="J23">
        <v>3</v>
      </c>
      <c r="K23">
        <v>1</v>
      </c>
      <c r="L23">
        <v>1</v>
      </c>
      <c r="M23">
        <v>2</v>
      </c>
      <c r="N23">
        <v>1</v>
      </c>
      <c r="O23">
        <v>1</v>
      </c>
      <c r="P23">
        <v>2</v>
      </c>
      <c r="Q23">
        <v>2</v>
      </c>
      <c r="R23">
        <v>2</v>
      </c>
      <c r="S23">
        <v>2</v>
      </c>
      <c r="T23">
        <v>1</v>
      </c>
      <c r="U23">
        <v>2</v>
      </c>
      <c r="V23">
        <v>2</v>
      </c>
      <c r="W23">
        <v>1</v>
      </c>
      <c r="X23">
        <v>1</v>
      </c>
      <c r="Y23">
        <v>1</v>
      </c>
      <c r="Z23">
        <v>1</v>
      </c>
      <c r="AA23">
        <v>2</v>
      </c>
      <c r="AB23">
        <v>1</v>
      </c>
      <c r="AC23">
        <v>1</v>
      </c>
      <c r="AD23">
        <v>2</v>
      </c>
      <c r="AE23">
        <v>2</v>
      </c>
      <c r="AF23">
        <v>3</v>
      </c>
      <c r="AG23">
        <v>2</v>
      </c>
      <c r="AH23">
        <v>2</v>
      </c>
      <c r="AI23">
        <v>1</v>
      </c>
      <c r="AJ23">
        <v>2</v>
      </c>
      <c r="AK23">
        <v>2</v>
      </c>
      <c r="AL23">
        <v>2</v>
      </c>
      <c r="AM23">
        <v>1</v>
      </c>
      <c r="AN23">
        <v>2</v>
      </c>
      <c r="AO23">
        <v>1</v>
      </c>
      <c r="AP23">
        <v>1</v>
      </c>
      <c r="AQ23">
        <v>1</v>
      </c>
      <c r="AR23">
        <v>2</v>
      </c>
      <c r="AS23">
        <v>2</v>
      </c>
      <c r="AT23">
        <v>2</v>
      </c>
      <c r="AU23">
        <v>1</v>
      </c>
      <c r="AV23">
        <v>1</v>
      </c>
      <c r="AW23">
        <v>2</v>
      </c>
      <c r="AX23">
        <v>1</v>
      </c>
      <c r="AY23">
        <v>2</v>
      </c>
    </row>
    <row r="24" spans="1:52">
      <c r="A24">
        <v>149</v>
      </c>
      <c r="B24">
        <v>4</v>
      </c>
      <c r="C24">
        <v>5</v>
      </c>
      <c r="D24">
        <v>5</v>
      </c>
      <c r="E24">
        <v>6</v>
      </c>
      <c r="F24">
        <v>7</v>
      </c>
      <c r="G24">
        <v>6</v>
      </c>
      <c r="H24">
        <v>7</v>
      </c>
      <c r="I24">
        <v>7</v>
      </c>
      <c r="J24">
        <v>7</v>
      </c>
      <c r="K24">
        <v>6</v>
      </c>
      <c r="L24">
        <v>7</v>
      </c>
      <c r="M24">
        <v>5</v>
      </c>
      <c r="N24">
        <v>7</v>
      </c>
      <c r="O24">
        <v>7</v>
      </c>
      <c r="P24">
        <v>7</v>
      </c>
      <c r="Q24">
        <v>7</v>
      </c>
      <c r="R24">
        <v>6</v>
      </c>
      <c r="S24">
        <v>6</v>
      </c>
      <c r="T24">
        <v>7</v>
      </c>
      <c r="U24">
        <v>7</v>
      </c>
      <c r="V24">
        <v>7</v>
      </c>
      <c r="W24">
        <v>8</v>
      </c>
      <c r="X24">
        <v>8</v>
      </c>
      <c r="Y24">
        <v>7</v>
      </c>
      <c r="Z24">
        <v>5</v>
      </c>
      <c r="AA24">
        <v>6</v>
      </c>
      <c r="AB24">
        <v>5</v>
      </c>
      <c r="AC24">
        <v>5</v>
      </c>
      <c r="AD24">
        <v>5</v>
      </c>
      <c r="AE24">
        <v>6</v>
      </c>
      <c r="AF24">
        <v>5</v>
      </c>
      <c r="AG24">
        <v>5</v>
      </c>
      <c r="AH24">
        <v>5</v>
      </c>
      <c r="AI24">
        <v>5</v>
      </c>
      <c r="AJ24">
        <v>6</v>
      </c>
      <c r="AK24">
        <v>6</v>
      </c>
      <c r="AL24">
        <v>6</v>
      </c>
      <c r="AM24">
        <v>5</v>
      </c>
      <c r="AN24">
        <v>4</v>
      </c>
      <c r="AO24">
        <v>6</v>
      </c>
      <c r="AP24">
        <v>5</v>
      </c>
      <c r="AQ24">
        <v>7</v>
      </c>
      <c r="AR24">
        <v>7</v>
      </c>
      <c r="AS24">
        <v>7</v>
      </c>
      <c r="AT24">
        <v>7</v>
      </c>
      <c r="AU24">
        <v>6</v>
      </c>
      <c r="AV24">
        <v>5</v>
      </c>
      <c r="AW24">
        <v>6</v>
      </c>
      <c r="AX24">
        <v>6</v>
      </c>
      <c r="AY24">
        <v>5</v>
      </c>
    </row>
    <row r="25" spans="1:52">
      <c r="A25">
        <v>150</v>
      </c>
      <c r="B25">
        <v>6</v>
      </c>
      <c r="C25">
        <v>6</v>
      </c>
      <c r="D25">
        <v>7</v>
      </c>
      <c r="E25">
        <v>5</v>
      </c>
      <c r="F25">
        <v>5</v>
      </c>
      <c r="G25">
        <v>5</v>
      </c>
      <c r="H25">
        <v>4</v>
      </c>
      <c r="I25">
        <v>5</v>
      </c>
      <c r="J25">
        <v>5</v>
      </c>
      <c r="K25">
        <v>7</v>
      </c>
      <c r="L25">
        <v>4</v>
      </c>
      <c r="M25">
        <v>7</v>
      </c>
      <c r="N25">
        <v>5</v>
      </c>
      <c r="O25">
        <v>6</v>
      </c>
      <c r="P25">
        <v>6</v>
      </c>
      <c r="Q25">
        <v>6</v>
      </c>
      <c r="R25">
        <v>4</v>
      </c>
      <c r="S25">
        <v>7</v>
      </c>
      <c r="T25">
        <v>5</v>
      </c>
      <c r="U25">
        <v>6</v>
      </c>
      <c r="V25">
        <v>5</v>
      </c>
      <c r="W25">
        <v>5</v>
      </c>
      <c r="X25">
        <v>4</v>
      </c>
      <c r="Y25">
        <v>6</v>
      </c>
      <c r="Z25">
        <v>6</v>
      </c>
      <c r="AA25">
        <v>7</v>
      </c>
      <c r="AB25">
        <v>6</v>
      </c>
      <c r="AC25">
        <v>7</v>
      </c>
      <c r="AD25">
        <v>6</v>
      </c>
      <c r="AE25">
        <v>5</v>
      </c>
      <c r="AF25">
        <v>7</v>
      </c>
      <c r="AG25">
        <v>7</v>
      </c>
      <c r="AH25">
        <v>7</v>
      </c>
      <c r="AI25">
        <v>7</v>
      </c>
      <c r="AJ25">
        <v>5</v>
      </c>
      <c r="AK25">
        <v>7</v>
      </c>
      <c r="AL25">
        <v>7</v>
      </c>
      <c r="AM25">
        <v>7</v>
      </c>
      <c r="AN25">
        <v>7</v>
      </c>
      <c r="AO25">
        <v>5</v>
      </c>
      <c r="AP25">
        <v>6</v>
      </c>
      <c r="AQ25">
        <v>5</v>
      </c>
      <c r="AR25">
        <v>4</v>
      </c>
      <c r="AS25">
        <v>6</v>
      </c>
      <c r="AT25">
        <v>5</v>
      </c>
      <c r="AU25">
        <v>7</v>
      </c>
      <c r="AV25">
        <v>7</v>
      </c>
      <c r="AW25">
        <v>5</v>
      </c>
      <c r="AX25">
        <v>5</v>
      </c>
      <c r="AY25">
        <v>6</v>
      </c>
    </row>
    <row r="26" spans="1:52">
      <c r="A26">
        <v>151</v>
      </c>
      <c r="B26">
        <v>5</v>
      </c>
      <c r="C26">
        <v>4</v>
      </c>
      <c r="D26">
        <v>4</v>
      </c>
      <c r="E26">
        <v>4</v>
      </c>
      <c r="F26">
        <v>4</v>
      </c>
      <c r="G26">
        <v>4</v>
      </c>
      <c r="H26">
        <v>5</v>
      </c>
      <c r="I26">
        <v>4</v>
      </c>
      <c r="J26">
        <v>6</v>
      </c>
      <c r="K26">
        <v>4</v>
      </c>
      <c r="L26">
        <v>5</v>
      </c>
      <c r="M26">
        <v>4</v>
      </c>
      <c r="N26">
        <v>4</v>
      </c>
      <c r="O26">
        <v>5</v>
      </c>
      <c r="P26">
        <v>4</v>
      </c>
      <c r="Q26">
        <v>4</v>
      </c>
      <c r="R26">
        <v>5</v>
      </c>
      <c r="S26">
        <v>4</v>
      </c>
      <c r="T26">
        <v>4</v>
      </c>
      <c r="U26">
        <v>5</v>
      </c>
      <c r="V26">
        <v>3</v>
      </c>
      <c r="W26">
        <v>3</v>
      </c>
      <c r="X26">
        <v>6</v>
      </c>
      <c r="Y26">
        <v>5</v>
      </c>
      <c r="Z26">
        <v>4</v>
      </c>
      <c r="AA26">
        <v>5</v>
      </c>
      <c r="AB26">
        <v>3</v>
      </c>
      <c r="AC26">
        <v>3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3</v>
      </c>
      <c r="AK26">
        <v>4</v>
      </c>
      <c r="AL26">
        <v>4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4</v>
      </c>
      <c r="AV26">
        <v>4</v>
      </c>
      <c r="AW26">
        <v>4</v>
      </c>
      <c r="AX26">
        <v>4</v>
      </c>
      <c r="AY26">
        <v>3</v>
      </c>
    </row>
    <row r="27" spans="1:52">
      <c r="A27">
        <v>152</v>
      </c>
      <c r="B27">
        <v>7</v>
      </c>
      <c r="C27">
        <v>7</v>
      </c>
      <c r="D27">
        <v>6</v>
      </c>
      <c r="E27">
        <v>7</v>
      </c>
      <c r="F27">
        <v>6</v>
      </c>
      <c r="G27">
        <v>7</v>
      </c>
      <c r="H27">
        <v>6</v>
      </c>
      <c r="I27">
        <v>6</v>
      </c>
      <c r="J27">
        <v>4</v>
      </c>
      <c r="K27">
        <v>5</v>
      </c>
      <c r="L27">
        <v>6</v>
      </c>
      <c r="M27">
        <v>6</v>
      </c>
      <c r="N27">
        <v>6</v>
      </c>
      <c r="O27">
        <v>4</v>
      </c>
      <c r="P27">
        <v>5</v>
      </c>
      <c r="Q27">
        <v>5</v>
      </c>
      <c r="R27">
        <v>7</v>
      </c>
      <c r="S27">
        <v>5</v>
      </c>
      <c r="T27">
        <v>6</v>
      </c>
      <c r="U27">
        <v>4</v>
      </c>
      <c r="V27">
        <v>6</v>
      </c>
      <c r="W27">
        <v>6</v>
      </c>
      <c r="X27">
        <v>5</v>
      </c>
      <c r="Y27">
        <v>4</v>
      </c>
      <c r="Z27">
        <v>7</v>
      </c>
      <c r="AA27">
        <v>4</v>
      </c>
      <c r="AB27">
        <v>7</v>
      </c>
      <c r="AC27">
        <v>6</v>
      </c>
      <c r="AD27">
        <v>7</v>
      </c>
      <c r="AE27">
        <v>7</v>
      </c>
      <c r="AF27">
        <v>6</v>
      </c>
      <c r="AG27">
        <v>6</v>
      </c>
      <c r="AH27">
        <v>6</v>
      </c>
      <c r="AI27">
        <v>6</v>
      </c>
      <c r="AJ27">
        <v>7</v>
      </c>
      <c r="AK27">
        <v>5</v>
      </c>
      <c r="AL27">
        <v>5</v>
      </c>
      <c r="AM27">
        <v>6</v>
      </c>
      <c r="AN27">
        <v>5</v>
      </c>
      <c r="AO27">
        <v>7</v>
      </c>
      <c r="AP27">
        <v>4</v>
      </c>
      <c r="AQ27">
        <v>4</v>
      </c>
      <c r="AR27">
        <v>5</v>
      </c>
      <c r="AS27">
        <v>4</v>
      </c>
      <c r="AT27">
        <v>4</v>
      </c>
      <c r="AU27">
        <v>3</v>
      </c>
      <c r="AV27">
        <v>6</v>
      </c>
      <c r="AW27">
        <v>3</v>
      </c>
      <c r="AX27">
        <v>3</v>
      </c>
      <c r="AY27">
        <v>7</v>
      </c>
    </row>
    <row r="29" spans="1:52">
      <c r="A29" t="s">
        <v>222</v>
      </c>
      <c r="AZ29" t="s">
        <v>223</v>
      </c>
    </row>
    <row r="30" spans="1:52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>
      <c r="A31">
        <v>145</v>
      </c>
      <c r="B31" s="7">
        <f t="shared" ref="B31:B38" si="4">B20/1</f>
        <v>1</v>
      </c>
      <c r="C31" s="7">
        <f t="shared" ref="C31:C38" si="5">SUM(B20:C20)/2</f>
        <v>1</v>
      </c>
      <c r="D31" s="7">
        <f t="shared" ref="D31:D38" si="6">SUM(B20:D20)/3</f>
        <v>1</v>
      </c>
      <c r="E31" s="7">
        <f t="shared" ref="E31:E38" si="7">SUM(B20:E20)/4</f>
        <v>1</v>
      </c>
      <c r="F31" s="7">
        <f t="shared" ref="F31:F38" si="8">SUM(B20:F20)/5</f>
        <v>1</v>
      </c>
      <c r="G31" s="7">
        <f t="shared" ref="G31:G38" si="9">SUM(B20:G20)/6</f>
        <v>1.16666666666667</v>
      </c>
      <c r="H31" s="7">
        <f t="shared" ref="H31:H38" si="10">SUM(B20:H20)/7</f>
        <v>1.28571428571429</v>
      </c>
      <c r="I31" s="7">
        <f t="shared" ref="I31:I38" si="11">SUM(B20:I20)/8</f>
        <v>1.25</v>
      </c>
      <c r="J31" s="7">
        <f t="shared" ref="J31:J38" si="12">SUM(B20:J20)/9</f>
        <v>1.33333333333333</v>
      </c>
      <c r="K31" s="7">
        <f t="shared" ref="K31:K38" si="13">SUM(B20:K20)/10</f>
        <v>1.5</v>
      </c>
      <c r="L31" s="7">
        <f t="shared" ref="L31:L38" si="14">SUM(B20:L20)/11</f>
        <v>1.54545454545455</v>
      </c>
      <c r="M31" s="7">
        <f>SUM(B20:M20)/12</f>
        <v>1.5</v>
      </c>
      <c r="N31" s="7">
        <f>SUM(B20:N20)/13</f>
        <v>1.53846153846154</v>
      </c>
      <c r="O31" s="7">
        <f>SUM(B20:O20)/14</f>
        <v>1.57142857142857</v>
      </c>
      <c r="P31" s="7">
        <f>SUM(B20:P20)/15</f>
        <v>1.53333333333333</v>
      </c>
      <c r="Q31" s="7">
        <f>SUM(B20:Q20)/16</f>
        <v>1.5</v>
      </c>
      <c r="R31" s="7">
        <f>SUM(B20:R20)/17</f>
        <v>1.47058823529412</v>
      </c>
      <c r="S31" s="7">
        <f>SUM(B20:S20)/18</f>
        <v>1.44444444444444</v>
      </c>
      <c r="T31" s="7">
        <f>SUM(B20:T20)/19</f>
        <v>1.47368421052632</v>
      </c>
      <c r="U31" s="7">
        <f>SUM(B20:U20)/20</f>
        <v>1.45</v>
      </c>
      <c r="V31" s="7">
        <f>SUM(B20:V20)/21</f>
        <v>1.42857142857143</v>
      </c>
      <c r="W31" s="7">
        <f>SUM(B20:W20)/22</f>
        <v>1.45454545454545</v>
      </c>
      <c r="X31" s="7">
        <f>SUM(B20:X20)/23</f>
        <v>1.47826086956522</v>
      </c>
      <c r="Y31" s="7">
        <f>SUM(B20:Y20)/24</f>
        <v>1.5</v>
      </c>
      <c r="Z31" s="7">
        <f>SUM(B20:Z20)/25</f>
        <v>1.56</v>
      </c>
      <c r="AA31" s="7">
        <f>SUM(B20:AA20)/26</f>
        <v>1.53846153846154</v>
      </c>
      <c r="AB31" s="7">
        <f>SUM(B20:AB20)/27</f>
        <v>1.55555555555556</v>
      </c>
      <c r="AC31" s="7">
        <f>SUM(B20:AC20)/28</f>
        <v>1.57142857142857</v>
      </c>
      <c r="AD31" s="7">
        <f>SUM(B20:AD20)/29</f>
        <v>1.55172413793103</v>
      </c>
      <c r="AE31" s="7">
        <f>SUM(B20:AE20)/30</f>
        <v>1.53333333333333</v>
      </c>
      <c r="AF31" s="7">
        <f>SUM(B20:AF20)/31</f>
        <v>1.51612903225806</v>
      </c>
      <c r="AG31" s="7">
        <f>SUM(B20:AG20)/32</f>
        <v>1.5</v>
      </c>
      <c r="AH31" s="7">
        <f>SUM(B20:AH20)/33</f>
        <v>1.48484848484848</v>
      </c>
      <c r="AI31" s="7">
        <f>SUM(B20:AI20)/34</f>
        <v>1.5</v>
      </c>
      <c r="AJ31" s="7">
        <f>SUM(B20:AJ20)/35</f>
        <v>1.48571428571429</v>
      </c>
      <c r="AK31" s="7">
        <f>SUM(B20:AK20)/36</f>
        <v>1.47222222222222</v>
      </c>
      <c r="AL31" s="7">
        <f>SUM(B20:AL20)/37</f>
        <v>1.45945945945946</v>
      </c>
      <c r="AM31" s="7">
        <f>SUM(B20:AM20)/38</f>
        <v>1.47368421052632</v>
      </c>
      <c r="AN31" s="7">
        <f>SUM(B20:AN20)/39</f>
        <v>1.46153846153846</v>
      </c>
      <c r="AO31" s="7">
        <f>SUM(B20:AO20)/40</f>
        <v>1.475</v>
      </c>
      <c r="AP31" s="7">
        <f>SUM(B20:AP20)/41</f>
        <v>1.48780487804878</v>
      </c>
      <c r="AQ31" s="7">
        <f>SUM(B20:AQ20)/42</f>
        <v>1.5</v>
      </c>
      <c r="AR31" s="7">
        <f>SUM(B20:AR20)/43</f>
        <v>1.48837209302326</v>
      </c>
      <c r="AS31" s="7">
        <f>SUM(B20:AS20)/44</f>
        <v>1.47727272727273</v>
      </c>
      <c r="AT31" s="7">
        <f>SUM(B20:AT20)/45</f>
        <v>1.46666666666667</v>
      </c>
      <c r="AU31" s="7">
        <f>SUM(B20:AU20)/46</f>
        <v>1.47826086956522</v>
      </c>
      <c r="AV31" s="7">
        <f>SUM(B20:AV20)/47</f>
        <v>1.48936170212766</v>
      </c>
      <c r="AW31" s="7">
        <f>SUM(B20:AW20)/48</f>
        <v>1.47916666666667</v>
      </c>
      <c r="AX31" s="7">
        <f>SUM(B20:AX20)/49</f>
        <v>1.48979591836735</v>
      </c>
      <c r="AY31" s="7">
        <f>SUM(B20:AY20)/50</f>
        <v>1.48</v>
      </c>
      <c r="AZ31" s="7">
        <f>B31-AY31</f>
        <v>-0.48</v>
      </c>
    </row>
    <row r="32" spans="1:52">
      <c r="A32">
        <v>146</v>
      </c>
      <c r="B32" s="7">
        <f t="shared" si="4"/>
        <v>3</v>
      </c>
      <c r="C32" s="7">
        <f t="shared" si="5"/>
        <v>3</v>
      </c>
      <c r="D32" s="7">
        <f t="shared" si="6"/>
        <v>2.66666666666667</v>
      </c>
      <c r="E32" s="7">
        <f t="shared" si="7"/>
        <v>2.75</v>
      </c>
      <c r="F32" s="7">
        <f t="shared" si="8"/>
        <v>2.6</v>
      </c>
      <c r="G32" s="7">
        <f t="shared" si="9"/>
        <v>2.33333333333333</v>
      </c>
      <c r="H32" s="7">
        <f t="shared" si="10"/>
        <v>2.42857142857143</v>
      </c>
      <c r="I32" s="7">
        <f t="shared" si="11"/>
        <v>2.375</v>
      </c>
      <c r="J32" s="7">
        <f t="shared" si="12"/>
        <v>2.22222222222222</v>
      </c>
      <c r="K32" s="7">
        <f t="shared" si="13"/>
        <v>2.2</v>
      </c>
      <c r="L32" s="7">
        <f t="shared" si="14"/>
        <v>2.27272727272727</v>
      </c>
      <c r="M32" s="7">
        <f t="shared" ref="M32:M38" si="15">SUM(B21:M21)/12</f>
        <v>2.33333333333333</v>
      </c>
      <c r="N32" s="7">
        <f t="shared" ref="N32:N38" si="16">SUM(B21:N21)/13</f>
        <v>2.38461538461538</v>
      </c>
      <c r="O32" s="7">
        <f t="shared" ref="O32:O38" si="17">SUM(B21:O21)/14</f>
        <v>2.42857142857143</v>
      </c>
      <c r="P32" s="7">
        <f t="shared" ref="P32:P38" si="18">SUM(B21:P21)/15</f>
        <v>2.46666666666667</v>
      </c>
      <c r="Q32" s="7">
        <f t="shared" ref="Q32:Q38" si="19">SUM(B21:Q21)/16</f>
        <v>2.5</v>
      </c>
      <c r="R32" s="7">
        <f t="shared" ref="R32:R38" si="20">SUM(B21:R21)/17</f>
        <v>2.52941176470588</v>
      </c>
      <c r="S32" s="7">
        <f t="shared" ref="S32:S38" si="21">SUM(B21:S21)/18</f>
        <v>2.55555555555556</v>
      </c>
      <c r="T32" s="7">
        <f t="shared" ref="T32:T38" si="22">SUM(B21:T21)/19</f>
        <v>2.57894736842105</v>
      </c>
      <c r="U32" s="7">
        <f t="shared" ref="U32:U38" si="23">SUM(B21:U21)/20</f>
        <v>2.6</v>
      </c>
      <c r="V32" s="7">
        <f t="shared" ref="V32:V38" si="24">SUM(B21:V21)/21</f>
        <v>2.66666666666667</v>
      </c>
      <c r="W32" s="7">
        <f>SUM(B21:W21)/22</f>
        <v>2.72727272727273</v>
      </c>
      <c r="X32" s="7">
        <f t="shared" ref="X32:X38" si="25">SUM(B21:X21)/23</f>
        <v>2.73913043478261</v>
      </c>
      <c r="Y32" s="7">
        <f t="shared" ref="Y32:Y38" si="26">SUM(B21:Y21)/24</f>
        <v>2.75</v>
      </c>
      <c r="Z32" s="7">
        <f t="shared" ref="Z32:Z38" si="27">SUM(B21:Z21)/25</f>
        <v>2.72</v>
      </c>
      <c r="AA32" s="7">
        <f t="shared" ref="AA32:AA38" si="28">SUM(B21:AA21)/26</f>
        <v>2.73076923076923</v>
      </c>
      <c r="AB32" s="7">
        <f t="shared" ref="AB32:AB38" si="29">SUM(B21:AB21)/27</f>
        <v>2.77777777777778</v>
      </c>
      <c r="AC32" s="7">
        <f t="shared" ref="AC32:AC38" si="30">SUM(B21:AC21)/28</f>
        <v>2.82142857142857</v>
      </c>
      <c r="AD32" s="7">
        <f t="shared" ref="AD32:AD38" si="31">SUM(B21:AD21)/29</f>
        <v>2.82758620689655</v>
      </c>
      <c r="AE32" s="7">
        <f t="shared" ref="AE32:AE38" si="32">SUM(B21:AE21)/30</f>
        <v>2.83333333333333</v>
      </c>
      <c r="AF32" s="7">
        <f t="shared" ref="AF32:AF38" si="33">SUM(B21:AF21)/31</f>
        <v>2.80645161290323</v>
      </c>
      <c r="AG32" s="7">
        <f t="shared" ref="AG32:AG38" si="34">SUM(B21:AG21)/32</f>
        <v>2.8125</v>
      </c>
      <c r="AH32" s="7">
        <f t="shared" ref="AH32:AH38" si="35">SUM(B21:AH21)/33</f>
        <v>2.81818181818182</v>
      </c>
      <c r="AI32" s="7">
        <f t="shared" ref="AI32:AI38" si="36">SUM(B21:AI21)/34</f>
        <v>2.82352941176471</v>
      </c>
      <c r="AJ32" s="7">
        <f t="shared" ref="AJ32:AJ38" si="37">SUM(B21:AJ21)/35</f>
        <v>2.85714285714286</v>
      </c>
      <c r="AK32" s="7">
        <f t="shared" ref="AK32:AK38" si="38">SUM(B21:AK21)/36</f>
        <v>2.86111111111111</v>
      </c>
      <c r="AL32" s="7">
        <f t="shared" ref="AL32:AL38" si="39">SUM(B21:AL21)/37</f>
        <v>2.86486486486486</v>
      </c>
      <c r="AM32" s="7">
        <f t="shared" ref="AM32:AM38" si="40">SUM(B21:AM21)/38</f>
        <v>2.89473684210526</v>
      </c>
      <c r="AN32" s="7">
        <f t="shared" ref="AN32:AN38" si="41">SUM(B21:AN21)/39</f>
        <v>2.97435897435897</v>
      </c>
      <c r="AO32" s="7">
        <f t="shared" ref="AO32:AO38" si="42">SUM(B21:AO21)/40</f>
        <v>3</v>
      </c>
      <c r="AP32" s="7">
        <f t="shared" ref="AP32:AP38" si="43">SUM(B21:AP21)/41</f>
        <v>3.09756097560976</v>
      </c>
      <c r="AQ32" s="7">
        <f t="shared" ref="AQ32:AQ38" si="44">SUM(B21:AQ21)/42</f>
        <v>3.16666666666667</v>
      </c>
      <c r="AR32" s="7">
        <f t="shared" ref="AR32:AR38" si="45">SUM(B21:AR21)/43</f>
        <v>3.23255813953488</v>
      </c>
      <c r="AS32" s="7">
        <f t="shared" ref="AS32:AS38" si="46">SUM(B21:AS21)/44</f>
        <v>3.27272727272727</v>
      </c>
      <c r="AT32" s="7">
        <f t="shared" ref="AT32:AT38" si="47">SUM(B21:AT21)/45</f>
        <v>3.33333333333333</v>
      </c>
      <c r="AU32" s="7">
        <f t="shared" ref="AU32:AU38" si="48">SUM(B21:AU21)/46</f>
        <v>3.3695652173913</v>
      </c>
      <c r="AV32" s="7">
        <f t="shared" ref="AV32:AV38" si="49">SUM(B21:AV21)/47</f>
        <v>3.36170212765957</v>
      </c>
      <c r="AW32" s="7">
        <f t="shared" ref="AW32:AW38" si="50">SUM(B21:AW21)/48</f>
        <v>3.4375</v>
      </c>
      <c r="AX32" s="7">
        <f t="shared" ref="AX32:AX38" si="51">SUM(B21:AX21)/49</f>
        <v>3.51020408163265</v>
      </c>
      <c r="AY32" s="7">
        <f t="shared" ref="AY32:AY38" si="52">SUM(B21:AY21)/50</f>
        <v>3.52</v>
      </c>
      <c r="AZ32" s="7">
        <f t="shared" ref="AZ32:AZ38" si="53">B32-AY32</f>
        <v>-0.52</v>
      </c>
    </row>
    <row r="33" spans="1:52">
      <c r="A33">
        <v>147</v>
      </c>
      <c r="B33" s="7">
        <f t="shared" si="4"/>
        <v>8</v>
      </c>
      <c r="C33" s="7">
        <f t="shared" si="5"/>
        <v>8</v>
      </c>
      <c r="D33" s="7">
        <f t="shared" si="6"/>
        <v>8</v>
      </c>
      <c r="E33" s="7">
        <f t="shared" si="7"/>
        <v>8</v>
      </c>
      <c r="F33" s="7">
        <f t="shared" si="8"/>
        <v>8</v>
      </c>
      <c r="G33" s="7">
        <f t="shared" si="9"/>
        <v>8</v>
      </c>
      <c r="H33" s="7">
        <f t="shared" si="10"/>
        <v>8</v>
      </c>
      <c r="I33" s="7">
        <f t="shared" si="11"/>
        <v>8</v>
      </c>
      <c r="J33" s="7">
        <f t="shared" si="12"/>
        <v>8</v>
      </c>
      <c r="K33" s="7">
        <f t="shared" si="13"/>
        <v>8</v>
      </c>
      <c r="L33" s="7">
        <f t="shared" si="14"/>
        <v>8</v>
      </c>
      <c r="M33" s="7">
        <f t="shared" si="15"/>
        <v>8</v>
      </c>
      <c r="N33" s="7">
        <f t="shared" si="16"/>
        <v>8</v>
      </c>
      <c r="O33" s="7">
        <f t="shared" si="17"/>
        <v>8</v>
      </c>
      <c r="P33" s="7">
        <f t="shared" si="18"/>
        <v>8</v>
      </c>
      <c r="Q33" s="7">
        <f t="shared" si="19"/>
        <v>8</v>
      </c>
      <c r="R33" s="7">
        <f t="shared" si="20"/>
        <v>8</v>
      </c>
      <c r="S33" s="7">
        <f t="shared" si="21"/>
        <v>8</v>
      </c>
      <c r="T33" s="7">
        <f t="shared" si="22"/>
        <v>8</v>
      </c>
      <c r="U33" s="7">
        <f t="shared" si="23"/>
        <v>8</v>
      </c>
      <c r="V33" s="7">
        <f t="shared" si="24"/>
        <v>8</v>
      </c>
      <c r="W33" s="7">
        <f>SUM(B22:W22)/22</f>
        <v>7.95454545454545</v>
      </c>
      <c r="X33" s="7">
        <f t="shared" si="25"/>
        <v>7.91304347826087</v>
      </c>
      <c r="Y33" s="7">
        <f t="shared" si="26"/>
        <v>7.91666666666667</v>
      </c>
      <c r="Z33" s="7">
        <f t="shared" si="27"/>
        <v>7.92</v>
      </c>
      <c r="AA33" s="7">
        <f t="shared" si="28"/>
        <v>7.92307692307692</v>
      </c>
      <c r="AB33" s="7">
        <f t="shared" si="29"/>
        <v>7.92592592592593</v>
      </c>
      <c r="AC33" s="7">
        <f t="shared" si="30"/>
        <v>7.92857142857143</v>
      </c>
      <c r="AD33" s="7">
        <f t="shared" si="31"/>
        <v>7.93103448275862</v>
      </c>
      <c r="AE33" s="7">
        <f t="shared" si="32"/>
        <v>7.93333333333333</v>
      </c>
      <c r="AF33" s="7">
        <f t="shared" si="33"/>
        <v>7.93548387096774</v>
      </c>
      <c r="AG33" s="7">
        <f t="shared" si="34"/>
        <v>7.9375</v>
      </c>
      <c r="AH33" s="7">
        <f t="shared" si="35"/>
        <v>7.93939393939394</v>
      </c>
      <c r="AI33" s="7">
        <f t="shared" si="36"/>
        <v>7.94117647058824</v>
      </c>
      <c r="AJ33" s="7">
        <f t="shared" si="37"/>
        <v>7.94285714285714</v>
      </c>
      <c r="AK33" s="7">
        <f t="shared" si="38"/>
        <v>7.94444444444444</v>
      </c>
      <c r="AL33" s="7">
        <f t="shared" si="39"/>
        <v>7.94594594594595</v>
      </c>
      <c r="AM33" s="7">
        <f t="shared" si="40"/>
        <v>7.94736842105263</v>
      </c>
      <c r="AN33" s="7">
        <f t="shared" si="41"/>
        <v>7.94871794871795</v>
      </c>
      <c r="AO33" s="7">
        <f t="shared" si="42"/>
        <v>7.95</v>
      </c>
      <c r="AP33" s="7">
        <f t="shared" si="43"/>
        <v>7.95121951219512</v>
      </c>
      <c r="AQ33" s="7">
        <f t="shared" si="44"/>
        <v>7.95238095238095</v>
      </c>
      <c r="AR33" s="7">
        <f t="shared" si="45"/>
        <v>7.95348837209302</v>
      </c>
      <c r="AS33" s="7">
        <f t="shared" si="46"/>
        <v>7.95454545454545</v>
      </c>
      <c r="AT33" s="7">
        <f t="shared" si="47"/>
        <v>7.95555555555556</v>
      </c>
      <c r="AU33" s="7">
        <f t="shared" si="48"/>
        <v>7.95652173913043</v>
      </c>
      <c r="AV33" s="7">
        <f t="shared" si="49"/>
        <v>7.95744680851064</v>
      </c>
      <c r="AW33" s="7">
        <f t="shared" si="50"/>
        <v>7.95833333333333</v>
      </c>
      <c r="AX33" s="7">
        <f t="shared" si="51"/>
        <v>7.95918367346939</v>
      </c>
      <c r="AY33" s="7">
        <f t="shared" si="52"/>
        <v>7.96</v>
      </c>
      <c r="AZ33" s="7">
        <f t="shared" si="53"/>
        <v>0.04</v>
      </c>
    </row>
    <row r="34" spans="1:52">
      <c r="A34">
        <v>148</v>
      </c>
      <c r="B34" s="7">
        <f t="shared" si="4"/>
        <v>2</v>
      </c>
      <c r="C34" s="7">
        <f t="shared" si="5"/>
        <v>2</v>
      </c>
      <c r="D34" s="7">
        <f t="shared" si="6"/>
        <v>2.33333333333333</v>
      </c>
      <c r="E34" s="7">
        <f t="shared" si="7"/>
        <v>2.25</v>
      </c>
      <c r="F34" s="7">
        <f t="shared" si="8"/>
        <v>2.4</v>
      </c>
      <c r="G34" s="7">
        <f t="shared" si="9"/>
        <v>2.5</v>
      </c>
      <c r="H34" s="7">
        <f t="shared" si="10"/>
        <v>2.28571428571429</v>
      </c>
      <c r="I34" s="7">
        <f t="shared" si="11"/>
        <v>2.375</v>
      </c>
      <c r="J34" s="7">
        <f t="shared" si="12"/>
        <v>2.44444444444444</v>
      </c>
      <c r="K34" s="7">
        <f t="shared" si="13"/>
        <v>2.3</v>
      </c>
      <c r="L34" s="7">
        <f t="shared" si="14"/>
        <v>2.18181818181818</v>
      </c>
      <c r="M34" s="7">
        <f t="shared" si="15"/>
        <v>2.16666666666667</v>
      </c>
      <c r="N34" s="7">
        <f t="shared" si="16"/>
        <v>2.07692307692308</v>
      </c>
      <c r="O34" s="7">
        <f t="shared" si="17"/>
        <v>2</v>
      </c>
      <c r="P34" s="7">
        <f t="shared" si="18"/>
        <v>2</v>
      </c>
      <c r="Q34" s="7">
        <f t="shared" si="19"/>
        <v>2</v>
      </c>
      <c r="R34" s="7">
        <f t="shared" si="20"/>
        <v>2</v>
      </c>
      <c r="S34" s="7">
        <f t="shared" si="21"/>
        <v>2</v>
      </c>
      <c r="T34" s="7">
        <f t="shared" si="22"/>
        <v>1.94736842105263</v>
      </c>
      <c r="U34" s="7">
        <f t="shared" si="23"/>
        <v>1.95</v>
      </c>
      <c r="V34" s="7">
        <f t="shared" si="24"/>
        <v>1.95238095238095</v>
      </c>
      <c r="W34" s="7">
        <f>SUM(B23:W23)/22</f>
        <v>1.90909090909091</v>
      </c>
      <c r="X34" s="7">
        <f t="shared" si="25"/>
        <v>1.8695652173913</v>
      </c>
      <c r="Y34" s="7">
        <f t="shared" si="26"/>
        <v>1.83333333333333</v>
      </c>
      <c r="Z34" s="7">
        <f t="shared" si="27"/>
        <v>1.8</v>
      </c>
      <c r="AA34" s="7">
        <f t="shared" si="28"/>
        <v>1.80769230769231</v>
      </c>
      <c r="AB34" s="7">
        <f t="shared" si="29"/>
        <v>1.77777777777778</v>
      </c>
      <c r="AC34" s="7">
        <f t="shared" si="30"/>
        <v>1.75</v>
      </c>
      <c r="AD34" s="7">
        <f t="shared" si="31"/>
        <v>1.75862068965517</v>
      </c>
      <c r="AE34" s="7">
        <f t="shared" si="32"/>
        <v>1.76666666666667</v>
      </c>
      <c r="AF34" s="7">
        <f t="shared" si="33"/>
        <v>1.80645161290323</v>
      </c>
      <c r="AG34" s="7">
        <f t="shared" si="34"/>
        <v>1.8125</v>
      </c>
      <c r="AH34" s="7">
        <f t="shared" si="35"/>
        <v>1.81818181818182</v>
      </c>
      <c r="AI34" s="7">
        <f t="shared" si="36"/>
        <v>1.79411764705882</v>
      </c>
      <c r="AJ34" s="7">
        <f t="shared" si="37"/>
        <v>1.8</v>
      </c>
      <c r="AK34" s="7">
        <f t="shared" si="38"/>
        <v>1.80555555555556</v>
      </c>
      <c r="AL34" s="7">
        <f t="shared" si="39"/>
        <v>1.81081081081081</v>
      </c>
      <c r="AM34" s="7">
        <f t="shared" si="40"/>
        <v>1.78947368421053</v>
      </c>
      <c r="AN34" s="7">
        <f t="shared" si="41"/>
        <v>1.79487179487179</v>
      </c>
      <c r="AO34" s="7">
        <f t="shared" si="42"/>
        <v>1.775</v>
      </c>
      <c r="AP34" s="7">
        <f t="shared" si="43"/>
        <v>1.75609756097561</v>
      </c>
      <c r="AQ34" s="7">
        <f t="shared" si="44"/>
        <v>1.73809523809524</v>
      </c>
      <c r="AR34" s="7">
        <f t="shared" si="45"/>
        <v>1.74418604651163</v>
      </c>
      <c r="AS34" s="7">
        <f t="shared" si="46"/>
        <v>1.75</v>
      </c>
      <c r="AT34" s="7">
        <f t="shared" si="47"/>
        <v>1.75555555555556</v>
      </c>
      <c r="AU34" s="7">
        <f t="shared" si="48"/>
        <v>1.73913043478261</v>
      </c>
      <c r="AV34" s="7">
        <f t="shared" si="49"/>
        <v>1.72340425531915</v>
      </c>
      <c r="AW34" s="7">
        <f t="shared" si="50"/>
        <v>1.72916666666667</v>
      </c>
      <c r="AX34" s="7">
        <f t="shared" si="51"/>
        <v>1.71428571428571</v>
      </c>
      <c r="AY34" s="7">
        <f t="shared" si="52"/>
        <v>1.72</v>
      </c>
      <c r="AZ34" s="7">
        <f t="shared" si="53"/>
        <v>0.28</v>
      </c>
    </row>
    <row r="35" spans="1:52">
      <c r="A35">
        <v>149</v>
      </c>
      <c r="B35" s="7">
        <f t="shared" si="4"/>
        <v>4</v>
      </c>
      <c r="C35" s="7">
        <f t="shared" si="5"/>
        <v>4.5</v>
      </c>
      <c r="D35" s="7">
        <f t="shared" si="6"/>
        <v>4.66666666666667</v>
      </c>
      <c r="E35" s="7">
        <f t="shared" si="7"/>
        <v>5</v>
      </c>
      <c r="F35" s="7">
        <f t="shared" si="8"/>
        <v>5.4</v>
      </c>
      <c r="G35" s="7">
        <f t="shared" si="9"/>
        <v>5.5</v>
      </c>
      <c r="H35" s="7">
        <f t="shared" si="10"/>
        <v>5.71428571428571</v>
      </c>
      <c r="I35" s="7">
        <f t="shared" si="11"/>
        <v>5.875</v>
      </c>
      <c r="J35" s="7">
        <f t="shared" si="12"/>
        <v>6</v>
      </c>
      <c r="K35" s="7">
        <f t="shared" si="13"/>
        <v>6</v>
      </c>
      <c r="L35" s="7">
        <f t="shared" si="14"/>
        <v>6.09090909090909</v>
      </c>
      <c r="M35" s="7">
        <f t="shared" si="15"/>
        <v>6</v>
      </c>
      <c r="N35" s="7">
        <f t="shared" si="16"/>
        <v>6.07692307692308</v>
      </c>
      <c r="O35" s="7">
        <f t="shared" si="17"/>
        <v>6.14285714285714</v>
      </c>
      <c r="P35" s="7">
        <f t="shared" si="18"/>
        <v>6.2</v>
      </c>
      <c r="Q35" s="7">
        <f t="shared" si="19"/>
        <v>6.25</v>
      </c>
      <c r="R35" s="7">
        <f t="shared" si="20"/>
        <v>6.23529411764706</v>
      </c>
      <c r="S35" s="7">
        <f t="shared" si="21"/>
        <v>6.22222222222222</v>
      </c>
      <c r="T35" s="7">
        <f t="shared" si="22"/>
        <v>6.26315789473684</v>
      </c>
      <c r="U35" s="7">
        <f t="shared" si="23"/>
        <v>6.3</v>
      </c>
      <c r="V35" s="7">
        <f t="shared" si="24"/>
        <v>6.33333333333333</v>
      </c>
      <c r="W35" s="7">
        <f t="shared" ref="W32:W38" si="54">SUM(B24:W24)/22</f>
        <v>6.40909090909091</v>
      </c>
      <c r="X35" s="7">
        <f t="shared" si="25"/>
        <v>6.47826086956522</v>
      </c>
      <c r="Y35" s="7">
        <f t="shared" si="26"/>
        <v>6.5</v>
      </c>
      <c r="Z35" s="7">
        <f t="shared" si="27"/>
        <v>6.44</v>
      </c>
      <c r="AA35" s="7">
        <f t="shared" si="28"/>
        <v>6.42307692307692</v>
      </c>
      <c r="AB35" s="7">
        <f t="shared" si="29"/>
        <v>6.37037037037037</v>
      </c>
      <c r="AC35" s="7">
        <f t="shared" si="30"/>
        <v>6.32142857142857</v>
      </c>
      <c r="AD35" s="7">
        <f t="shared" si="31"/>
        <v>6.27586206896552</v>
      </c>
      <c r="AE35" s="7">
        <f t="shared" si="32"/>
        <v>6.26666666666667</v>
      </c>
      <c r="AF35" s="7">
        <f t="shared" si="33"/>
        <v>6.2258064516129</v>
      </c>
      <c r="AG35" s="7">
        <f t="shared" si="34"/>
        <v>6.1875</v>
      </c>
      <c r="AH35" s="7">
        <f t="shared" si="35"/>
        <v>6.15151515151515</v>
      </c>
      <c r="AI35" s="7">
        <f t="shared" si="36"/>
        <v>6.11764705882353</v>
      </c>
      <c r="AJ35" s="7">
        <f t="shared" si="37"/>
        <v>6.11428571428571</v>
      </c>
      <c r="AK35" s="7">
        <f t="shared" si="38"/>
        <v>6.11111111111111</v>
      </c>
      <c r="AL35" s="7">
        <f t="shared" si="39"/>
        <v>6.10810810810811</v>
      </c>
      <c r="AM35" s="7">
        <f t="shared" si="40"/>
        <v>6.07894736842105</v>
      </c>
      <c r="AN35" s="7">
        <f t="shared" si="41"/>
        <v>6.02564102564103</v>
      </c>
      <c r="AO35" s="7">
        <f t="shared" si="42"/>
        <v>6.025</v>
      </c>
      <c r="AP35" s="7">
        <f t="shared" si="43"/>
        <v>6</v>
      </c>
      <c r="AQ35" s="7">
        <f t="shared" si="44"/>
        <v>6.02380952380952</v>
      </c>
      <c r="AR35" s="7">
        <f t="shared" si="45"/>
        <v>6.04651162790698</v>
      </c>
      <c r="AS35" s="7">
        <f t="shared" si="46"/>
        <v>6.06818181818182</v>
      </c>
      <c r="AT35" s="7">
        <f t="shared" si="47"/>
        <v>6.08888888888889</v>
      </c>
      <c r="AU35" s="7">
        <f t="shared" si="48"/>
        <v>6.08695652173913</v>
      </c>
      <c r="AV35" s="7">
        <f t="shared" si="49"/>
        <v>6.06382978723404</v>
      </c>
      <c r="AW35" s="7">
        <f t="shared" si="50"/>
        <v>6.0625</v>
      </c>
      <c r="AX35" s="7">
        <f t="shared" si="51"/>
        <v>6.06122448979592</v>
      </c>
      <c r="AY35" s="7">
        <f t="shared" si="52"/>
        <v>6.04</v>
      </c>
      <c r="AZ35" s="7">
        <f t="shared" si="53"/>
        <v>-2.04</v>
      </c>
    </row>
    <row r="36" spans="1:52">
      <c r="A36">
        <v>150</v>
      </c>
      <c r="B36" s="7">
        <f t="shared" si="4"/>
        <v>6</v>
      </c>
      <c r="C36" s="7">
        <f t="shared" si="5"/>
        <v>6</v>
      </c>
      <c r="D36" s="7">
        <f t="shared" si="6"/>
        <v>6.33333333333333</v>
      </c>
      <c r="E36" s="7">
        <f t="shared" si="7"/>
        <v>6</v>
      </c>
      <c r="F36" s="7">
        <f t="shared" si="8"/>
        <v>5.8</v>
      </c>
      <c r="G36" s="7">
        <f t="shared" si="9"/>
        <v>5.66666666666667</v>
      </c>
      <c r="H36" s="7">
        <f t="shared" si="10"/>
        <v>5.42857142857143</v>
      </c>
      <c r="I36" s="7">
        <f t="shared" si="11"/>
        <v>5.375</v>
      </c>
      <c r="J36" s="7">
        <f t="shared" si="12"/>
        <v>5.33333333333333</v>
      </c>
      <c r="K36" s="7">
        <f t="shared" si="13"/>
        <v>5.5</v>
      </c>
      <c r="L36" s="7">
        <f t="shared" si="14"/>
        <v>5.36363636363636</v>
      </c>
      <c r="M36" s="7">
        <f t="shared" si="15"/>
        <v>5.5</v>
      </c>
      <c r="N36" s="7">
        <f t="shared" si="16"/>
        <v>5.46153846153846</v>
      </c>
      <c r="O36" s="7">
        <f t="shared" si="17"/>
        <v>5.5</v>
      </c>
      <c r="P36" s="7">
        <f t="shared" si="18"/>
        <v>5.53333333333333</v>
      </c>
      <c r="Q36" s="7">
        <f t="shared" si="19"/>
        <v>5.5625</v>
      </c>
      <c r="R36" s="7">
        <f t="shared" si="20"/>
        <v>5.47058823529412</v>
      </c>
      <c r="S36" s="7">
        <f t="shared" si="21"/>
        <v>5.55555555555556</v>
      </c>
      <c r="T36" s="7">
        <f t="shared" si="22"/>
        <v>5.52631578947368</v>
      </c>
      <c r="U36" s="7">
        <f t="shared" si="23"/>
        <v>5.55</v>
      </c>
      <c r="V36" s="7">
        <f t="shared" si="24"/>
        <v>5.52380952380952</v>
      </c>
      <c r="W36" s="7">
        <f t="shared" si="54"/>
        <v>5.5</v>
      </c>
      <c r="X36" s="7">
        <f t="shared" si="25"/>
        <v>5.43478260869565</v>
      </c>
      <c r="Y36" s="7">
        <f t="shared" si="26"/>
        <v>5.45833333333333</v>
      </c>
      <c r="Z36" s="7">
        <f t="shared" si="27"/>
        <v>5.48</v>
      </c>
      <c r="AA36" s="7">
        <f t="shared" si="28"/>
        <v>5.53846153846154</v>
      </c>
      <c r="AB36" s="7">
        <f t="shared" si="29"/>
        <v>5.55555555555556</v>
      </c>
      <c r="AC36" s="7">
        <f t="shared" si="30"/>
        <v>5.60714285714286</v>
      </c>
      <c r="AD36" s="7">
        <f t="shared" si="31"/>
        <v>5.62068965517241</v>
      </c>
      <c r="AE36" s="7">
        <f t="shared" si="32"/>
        <v>5.6</v>
      </c>
      <c r="AF36" s="7">
        <f t="shared" si="33"/>
        <v>5.64516129032258</v>
      </c>
      <c r="AG36" s="7">
        <f t="shared" si="34"/>
        <v>5.6875</v>
      </c>
      <c r="AH36" s="7">
        <f t="shared" si="35"/>
        <v>5.72727272727273</v>
      </c>
      <c r="AI36" s="7">
        <f t="shared" si="36"/>
        <v>5.76470588235294</v>
      </c>
      <c r="AJ36" s="7">
        <f t="shared" si="37"/>
        <v>5.74285714285714</v>
      </c>
      <c r="AK36" s="7">
        <f t="shared" si="38"/>
        <v>5.77777777777778</v>
      </c>
      <c r="AL36" s="7">
        <f t="shared" si="39"/>
        <v>5.81081081081081</v>
      </c>
      <c r="AM36" s="7">
        <f t="shared" si="40"/>
        <v>5.84210526315789</v>
      </c>
      <c r="AN36" s="7">
        <f t="shared" si="41"/>
        <v>5.87179487179487</v>
      </c>
      <c r="AO36" s="7">
        <f t="shared" si="42"/>
        <v>5.85</v>
      </c>
      <c r="AP36" s="7">
        <f t="shared" si="43"/>
        <v>5.85365853658537</v>
      </c>
      <c r="AQ36" s="7">
        <f t="shared" si="44"/>
        <v>5.83333333333333</v>
      </c>
      <c r="AR36" s="7">
        <f t="shared" si="45"/>
        <v>5.7906976744186</v>
      </c>
      <c r="AS36" s="7">
        <f t="shared" si="46"/>
        <v>5.79545454545455</v>
      </c>
      <c r="AT36" s="7">
        <f t="shared" si="47"/>
        <v>5.77777777777778</v>
      </c>
      <c r="AU36" s="7">
        <f t="shared" si="48"/>
        <v>5.80434782608696</v>
      </c>
      <c r="AV36" s="7">
        <f t="shared" si="49"/>
        <v>5.82978723404255</v>
      </c>
      <c r="AW36" s="7">
        <f t="shared" si="50"/>
        <v>5.8125</v>
      </c>
      <c r="AX36" s="7">
        <f t="shared" si="51"/>
        <v>5.79591836734694</v>
      </c>
      <c r="AY36" s="7">
        <f t="shared" si="52"/>
        <v>5.8</v>
      </c>
      <c r="AZ36" s="7">
        <f t="shared" si="53"/>
        <v>0.2</v>
      </c>
    </row>
    <row r="37" spans="1:52">
      <c r="A37">
        <v>151</v>
      </c>
      <c r="B37" s="7">
        <f t="shared" si="4"/>
        <v>5</v>
      </c>
      <c r="C37" s="7">
        <f t="shared" si="5"/>
        <v>4.5</v>
      </c>
      <c r="D37" s="7">
        <f t="shared" si="6"/>
        <v>4.33333333333333</v>
      </c>
      <c r="E37" s="7">
        <f t="shared" si="7"/>
        <v>4.25</v>
      </c>
      <c r="F37" s="7">
        <f t="shared" si="8"/>
        <v>4.2</v>
      </c>
      <c r="G37" s="7">
        <f t="shared" si="9"/>
        <v>4.16666666666667</v>
      </c>
      <c r="H37" s="7">
        <f t="shared" si="10"/>
        <v>4.28571428571429</v>
      </c>
      <c r="I37" s="7">
        <f t="shared" si="11"/>
        <v>4.25</v>
      </c>
      <c r="J37" s="7">
        <f t="shared" si="12"/>
        <v>4.44444444444444</v>
      </c>
      <c r="K37" s="7">
        <f t="shared" si="13"/>
        <v>4.4</v>
      </c>
      <c r="L37" s="7">
        <f t="shared" si="14"/>
        <v>4.45454545454545</v>
      </c>
      <c r="M37" s="7">
        <f t="shared" si="15"/>
        <v>4.41666666666667</v>
      </c>
      <c r="N37" s="7">
        <f t="shared" si="16"/>
        <v>4.38461538461539</v>
      </c>
      <c r="O37" s="7">
        <f t="shared" si="17"/>
        <v>4.42857142857143</v>
      </c>
      <c r="P37" s="7">
        <f t="shared" si="18"/>
        <v>4.4</v>
      </c>
      <c r="Q37" s="7">
        <f t="shared" si="19"/>
        <v>4.375</v>
      </c>
      <c r="R37" s="7">
        <f t="shared" si="20"/>
        <v>4.41176470588235</v>
      </c>
      <c r="S37" s="7">
        <f t="shared" si="21"/>
        <v>4.38888888888889</v>
      </c>
      <c r="T37" s="7">
        <f t="shared" si="22"/>
        <v>4.36842105263158</v>
      </c>
      <c r="U37" s="7">
        <f t="shared" si="23"/>
        <v>4.4</v>
      </c>
      <c r="V37" s="7">
        <f t="shared" si="24"/>
        <v>4.33333333333333</v>
      </c>
      <c r="W37" s="7">
        <f t="shared" si="54"/>
        <v>4.27272727272727</v>
      </c>
      <c r="X37" s="7">
        <f t="shared" si="25"/>
        <v>4.34782608695652</v>
      </c>
      <c r="Y37" s="7">
        <f t="shared" si="26"/>
        <v>4.375</v>
      </c>
      <c r="Z37" s="7">
        <f t="shared" si="27"/>
        <v>4.36</v>
      </c>
      <c r="AA37" s="7">
        <f t="shared" si="28"/>
        <v>4.38461538461539</v>
      </c>
      <c r="AB37" s="7">
        <f t="shared" si="29"/>
        <v>4.33333333333333</v>
      </c>
      <c r="AC37" s="7">
        <f t="shared" si="30"/>
        <v>4.28571428571429</v>
      </c>
      <c r="AD37" s="7">
        <f t="shared" si="31"/>
        <v>4.27586206896552</v>
      </c>
      <c r="AE37" s="7">
        <f t="shared" si="32"/>
        <v>4.26666666666667</v>
      </c>
      <c r="AF37" s="7">
        <f t="shared" si="33"/>
        <v>4.25806451612903</v>
      </c>
      <c r="AG37" s="7">
        <f t="shared" si="34"/>
        <v>4.25</v>
      </c>
      <c r="AH37" s="7">
        <f t="shared" si="35"/>
        <v>4.24242424242424</v>
      </c>
      <c r="AI37" s="7">
        <f t="shared" si="36"/>
        <v>4.23529411764706</v>
      </c>
      <c r="AJ37" s="7">
        <f t="shared" si="37"/>
        <v>4.2</v>
      </c>
      <c r="AK37" s="7">
        <f t="shared" si="38"/>
        <v>4.19444444444444</v>
      </c>
      <c r="AL37" s="7">
        <f t="shared" si="39"/>
        <v>4.18918918918919</v>
      </c>
      <c r="AM37" s="7">
        <f t="shared" si="40"/>
        <v>4.15789473684211</v>
      </c>
      <c r="AN37" s="7">
        <f t="shared" si="41"/>
        <v>4.12820512820513</v>
      </c>
      <c r="AO37" s="7">
        <f t="shared" si="42"/>
        <v>4.1</v>
      </c>
      <c r="AP37" s="7">
        <f t="shared" si="43"/>
        <v>4.07317073170732</v>
      </c>
      <c r="AQ37" s="7">
        <f t="shared" si="44"/>
        <v>4.04761904761905</v>
      </c>
      <c r="AR37" s="7">
        <f t="shared" si="45"/>
        <v>4.02325581395349</v>
      </c>
      <c r="AS37" s="7">
        <f t="shared" si="46"/>
        <v>4</v>
      </c>
      <c r="AT37" s="7">
        <f t="shared" si="47"/>
        <v>3.97777777777778</v>
      </c>
      <c r="AU37" s="7">
        <f t="shared" si="48"/>
        <v>3.97826086956522</v>
      </c>
      <c r="AV37" s="7">
        <f t="shared" si="49"/>
        <v>3.97872340425532</v>
      </c>
      <c r="AW37" s="7">
        <f t="shared" si="50"/>
        <v>3.97916666666667</v>
      </c>
      <c r="AX37" s="7">
        <f t="shared" si="51"/>
        <v>3.97959183673469</v>
      </c>
      <c r="AY37" s="7">
        <f t="shared" si="52"/>
        <v>3.96</v>
      </c>
      <c r="AZ37" s="7">
        <f t="shared" si="53"/>
        <v>1.04</v>
      </c>
    </row>
    <row r="38" spans="1:52">
      <c r="A38">
        <v>152</v>
      </c>
      <c r="B38" s="7">
        <f t="shared" si="4"/>
        <v>7</v>
      </c>
      <c r="C38" s="7">
        <f t="shared" si="5"/>
        <v>7</v>
      </c>
      <c r="D38" s="7">
        <f t="shared" si="6"/>
        <v>6.66666666666667</v>
      </c>
      <c r="E38" s="7">
        <f t="shared" si="7"/>
        <v>6.75</v>
      </c>
      <c r="F38" s="7">
        <f t="shared" si="8"/>
        <v>6.6</v>
      </c>
      <c r="G38" s="7">
        <f t="shared" si="9"/>
        <v>6.66666666666667</v>
      </c>
      <c r="H38" s="7">
        <f t="shared" si="10"/>
        <v>6.57142857142857</v>
      </c>
      <c r="I38" s="7">
        <f t="shared" si="11"/>
        <v>6.5</v>
      </c>
      <c r="J38" s="7">
        <f t="shared" si="12"/>
        <v>6.22222222222222</v>
      </c>
      <c r="K38" s="7">
        <f t="shared" si="13"/>
        <v>6.1</v>
      </c>
      <c r="L38" s="7">
        <f t="shared" si="14"/>
        <v>6.09090909090909</v>
      </c>
      <c r="M38" s="7">
        <f t="shared" si="15"/>
        <v>6.08333333333333</v>
      </c>
      <c r="N38" s="7">
        <f t="shared" si="16"/>
        <v>6.07692307692308</v>
      </c>
      <c r="O38" s="7">
        <f t="shared" si="17"/>
        <v>5.92857142857143</v>
      </c>
      <c r="P38" s="7">
        <f t="shared" si="18"/>
        <v>5.86666666666667</v>
      </c>
      <c r="Q38" s="7">
        <f t="shared" si="19"/>
        <v>5.8125</v>
      </c>
      <c r="R38" s="7">
        <f t="shared" si="20"/>
        <v>5.88235294117647</v>
      </c>
      <c r="S38" s="7">
        <f t="shared" si="21"/>
        <v>5.83333333333333</v>
      </c>
      <c r="T38" s="7">
        <f t="shared" si="22"/>
        <v>5.84210526315789</v>
      </c>
      <c r="U38" s="7">
        <f t="shared" si="23"/>
        <v>5.75</v>
      </c>
      <c r="V38" s="7">
        <f t="shared" si="24"/>
        <v>5.76190476190476</v>
      </c>
      <c r="W38" s="7">
        <f t="shared" si="54"/>
        <v>5.77272727272727</v>
      </c>
      <c r="X38" s="7">
        <f t="shared" si="25"/>
        <v>5.73913043478261</v>
      </c>
      <c r="Y38" s="7">
        <f t="shared" si="26"/>
        <v>5.66666666666667</v>
      </c>
      <c r="Z38" s="7">
        <f t="shared" si="27"/>
        <v>5.72</v>
      </c>
      <c r="AA38" s="7">
        <f t="shared" si="28"/>
        <v>5.65384615384615</v>
      </c>
      <c r="AB38" s="7">
        <f t="shared" si="29"/>
        <v>5.7037037037037</v>
      </c>
      <c r="AC38" s="7">
        <f t="shared" si="30"/>
        <v>5.71428571428571</v>
      </c>
      <c r="AD38" s="7">
        <f t="shared" si="31"/>
        <v>5.75862068965517</v>
      </c>
      <c r="AE38" s="7">
        <f t="shared" si="32"/>
        <v>5.8</v>
      </c>
      <c r="AF38" s="7">
        <f t="shared" si="33"/>
        <v>5.80645161290323</v>
      </c>
      <c r="AG38" s="7">
        <f t="shared" si="34"/>
        <v>5.8125</v>
      </c>
      <c r="AH38" s="7">
        <f t="shared" si="35"/>
        <v>5.81818181818182</v>
      </c>
      <c r="AI38" s="7">
        <f t="shared" si="36"/>
        <v>5.82352941176471</v>
      </c>
      <c r="AJ38" s="7">
        <f t="shared" si="37"/>
        <v>5.85714285714286</v>
      </c>
      <c r="AK38" s="7">
        <f t="shared" si="38"/>
        <v>5.83333333333333</v>
      </c>
      <c r="AL38" s="7">
        <f t="shared" si="39"/>
        <v>5.81081081081081</v>
      </c>
      <c r="AM38" s="7">
        <f t="shared" si="40"/>
        <v>5.81578947368421</v>
      </c>
      <c r="AN38" s="7">
        <f t="shared" si="41"/>
        <v>5.79487179487179</v>
      </c>
      <c r="AO38" s="7">
        <f t="shared" si="42"/>
        <v>5.825</v>
      </c>
      <c r="AP38" s="7">
        <f t="shared" si="43"/>
        <v>5.78048780487805</v>
      </c>
      <c r="AQ38" s="7">
        <f t="shared" si="44"/>
        <v>5.73809523809524</v>
      </c>
      <c r="AR38" s="7">
        <f t="shared" si="45"/>
        <v>5.72093023255814</v>
      </c>
      <c r="AS38" s="7">
        <f t="shared" si="46"/>
        <v>5.68181818181818</v>
      </c>
      <c r="AT38" s="7">
        <f t="shared" si="47"/>
        <v>5.64444444444444</v>
      </c>
      <c r="AU38" s="7">
        <f t="shared" si="48"/>
        <v>5.58695652173913</v>
      </c>
      <c r="AV38" s="7">
        <f t="shared" si="49"/>
        <v>5.59574468085106</v>
      </c>
      <c r="AW38" s="7">
        <f t="shared" si="50"/>
        <v>5.54166666666667</v>
      </c>
      <c r="AX38" s="7">
        <f t="shared" si="51"/>
        <v>5.48979591836735</v>
      </c>
      <c r="AY38" s="7">
        <f t="shared" si="52"/>
        <v>5.52</v>
      </c>
      <c r="AZ38" s="7">
        <f t="shared" si="53"/>
        <v>1.48</v>
      </c>
    </row>
  </sheetData>
  <pageMargins left="0.7" right="0.7" top="0.75" bottom="0.75" header="0.3" footer="0.3"/>
  <pageSetup paperSize="9" orientation="portrait"/>
  <headerFooter/>
  <ignoredErrors>
    <ignoredError sqref="C31:L38 M31:M39 N31:AY3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19星域战力标</vt:lpstr>
      <vt:lpstr>19星域异界币统计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2026-10-21T01:17:36Z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89F7C890237F45E18FF6F4FBF1CDB90B_12</vt:lpwstr>
  </property>
  <property fmtid="{D5CDD505-2E9C-101B-9397-08002B2CF9AE}" pid="4" name="CalculationRule">
    <vt:i4>0</vt:i4>
  </property>
</Properties>
</file>