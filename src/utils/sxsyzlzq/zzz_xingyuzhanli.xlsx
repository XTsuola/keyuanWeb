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<sst xmlns="http://schemas.openxmlformats.org/spreadsheetml/2006/main" count="280" uniqueCount="166">
  <si>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</si>
  <si>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</si>
  <si>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</si>
  <si>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</si>
  <si>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</si>
  <si>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</si>
  <si>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</si>
  <si>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</si>
  <si>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</si>
  <si>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</si>
  <si>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</si>
  <si>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</si>
  <si>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</si>
  <si>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</si>
  <si>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</si>
  <si>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</si>
  <si>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</si>
  <si>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</si>
  <si>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</si>
  <si>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</si>
  <si>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</si>
  <si>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</si>
  <si>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</si>
  <si>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</si>
  <si>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</si>
  <si>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</si>
  <si>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</si>
  <si>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</si>
  <si>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</si>
  <si>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</si>
  <si>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</si>
  <si>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</si>
  <si>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</si>
  <si>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</si>
  <si>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</si>
  <si>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</si>
  <si>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</si>
  <si>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</si>
  <si>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</si>
  <si>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</si>
  <si>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</si>
  <si>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</si>
  <si>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</si>
  <si>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</si>
  <si>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</si>
  <si>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</si>
  <si>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</si>
  <si>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</si>
  <si>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</si>
  <si>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</si>
  <si>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</si>
  <si>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</si>
  <si>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</si>
  <si>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</si>
  <si>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</si>
  <si>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</si>
  <si>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</si>
  <si>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</si>
  <si>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</si>
  <si>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沙琪玛（快攻）</t>
  </si>
  <si>
    <t>丽娅（人海）</t>
  </si>
  <si>
    <t>145区</t>
  </si>
  <si>
    <t>古月星辰</t>
  </si>
  <si>
    <t>中大氪</t>
  </si>
  <si>
    <t>冽（传承）</t>
  </si>
  <si>
    <t>梅养（养神）</t>
  </si>
  <si>
    <t>江南</t>
  </si>
  <si>
    <t>格洛（快攻）</t>
  </si>
  <si>
    <t>魔尊（快攻）</t>
  </si>
  <si>
    <t>SZH</t>
  </si>
  <si>
    <t>151区</t>
  </si>
  <si>
    <t>suola</t>
  </si>
  <si>
    <t>中氪</t>
  </si>
  <si>
    <t>洞察女（洞察）</t>
  </si>
  <si>
    <t>圣母（洞察）</t>
  </si>
  <si>
    <t>请叫我阿奎</t>
  </si>
  <si>
    <t>亚芬（压制）</t>
  </si>
  <si>
    <t>杜佳捷</t>
  </si>
  <si>
    <t>中低氪</t>
  </si>
  <si>
    <t>1。</t>
  </si>
  <si>
    <t>查查（养神）</t>
  </si>
  <si>
    <t>迅（养神）</t>
  </si>
  <si>
    <t>星空</t>
  </si>
  <si>
    <t>12345。</t>
  </si>
  <si>
    <t>冰男（人海）</t>
  </si>
  <si>
    <t>小黑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</si>
  <si>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</si>
  <si>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</si>
  <si>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</si>
  <si>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</si>
  <si>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</si>
  <si>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</si>
  <si>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</si>
  <si>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</si>
  <si>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</si>
  <si>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</si>
  <si>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</si>
  <si>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</si>
  <si>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</si>
  <si>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</si>
  <si>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</si>
  <si>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*托</t>
  </si>
  <si>
    <t>[永恒]</t>
  </si>
  <si>
    <t>新蜂幻境</t>
  </si>
  <si>
    <t>白夜</t>
  </si>
  <si>
    <t>战争艺术</t>
  </si>
  <si>
    <t>秋雨</t>
  </si>
  <si>
    <t>清风</t>
  </si>
  <si>
    <t>赛娜（传承）</t>
  </si>
  <si>
    <t>大良91档钟</t>
  </si>
  <si>
    <t>白处尊（人海）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</si>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</sst>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4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A41"/>
  <sheetViews>
    <sheetView tabSelected="1" zoomScale="115" zoomScaleNormal="115" workbookViewId="0">
      <selection activeCell="CB15" sqref="CB15"/>
    </sheetView>
  </sheetViews>
  <sheetFormatPr defaultColWidth="9" defaultRowHeight="13.5"/>
  <cols>
    <col min="1" max="1" width="11.3666666666667" customWidth="1"/>
    <col min="2" max="2" width="18.4666666666667" customWidth="1"/>
    <col min="3" max="3" width="8.68333333333333" customWidth="1"/>
    <col min="4" max="4" width="16.40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7.5" customWidth="1"/>
    <col min="69" max="71" width="17.2833333333333" customWidth="1"/>
    <col min="72" max="72" width="14.5416666666667" customWidth="1"/>
    <col min="73" max="73" width="15.1833333333333" hidden="1" customWidth="1"/>
    <col min="74" max="74" width="13.2583333333333" hidden="1" customWidth="1"/>
    <col min="75" max="75" width="11.625" hidden="1" customWidth="1"/>
    <col min="76" max="76" width="12.6083333333333" hidden="1" customWidth="1"/>
    <col min="77" max="77" width="15.0166666666667" hidden="1" customWidth="1"/>
    <col min="78" max="78" width="12.625"/>
    <col min="79" max="79" width="11.4083333333333" hidden="1" customWidth="1"/>
  </cols>
  <sheetData>
    <row r="1" spans="1:7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39</v>
      </c>
      <c r="BT1" t="s">
        <v>40</v>
      </c>
      <c r="BU1" t="s">
        <v>41</v>
      </c>
      <c r="BV1" t="s">
        <v>42</v>
      </c>
      <c r="BW1" t="s">
        <v>43</v>
      </c>
      <c r="BX1" t="s">
        <v>44</v>
      </c>
      <c r="BY1" t="s">
        <v>45</v>
      </c>
      <c r="BZ1" t="s">
        <v>46</v>
      </c>
      <c r="CA1" t="s">
        <v>47</v>
      </c>
    </row>
    <row r="2" s="8" customFormat="1" spans="1:79">
      <c r="A2" s="7" t="s">
        <v>48</v>
      </c>
      <c r="B2" s="7" t="s">
        <v>49</v>
      </c>
      <c r="C2" s="7" t="s">
        <v>50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6">
        <f>BP2-BN2</f>
        <v>42.6900000000005</v>
      </c>
      <c r="BP2" s="26">
        <v>6790.43</v>
      </c>
      <c r="BQ2" s="26">
        <f>BR2-BP2</f>
        <v>61.9099999999999</v>
      </c>
      <c r="BR2" s="26">
        <v>6852.34</v>
      </c>
      <c r="BS2" s="20" t="s">
        <v>51</v>
      </c>
      <c r="BT2" s="15">
        <v>1910.57</v>
      </c>
      <c r="BU2" s="15" t="s">
        <v>52</v>
      </c>
      <c r="BV2" s="15">
        <v>1267.77</v>
      </c>
      <c r="BW2" s="7">
        <v>400</v>
      </c>
      <c r="BX2" s="7">
        <v>1.2</v>
      </c>
      <c r="BY2" s="7">
        <v>186759</v>
      </c>
      <c r="BZ2" s="15">
        <f>2.6314/(BR2/BT2)</f>
        <v>0.733687163509108</v>
      </c>
      <c r="CA2" s="15">
        <f>BP2-D2</f>
        <v>2684.95</v>
      </c>
    </row>
    <row r="3" spans="1:79">
      <c r="A3" s="7" t="s">
        <v>53</v>
      </c>
      <c r="B3" s="7" t="s">
        <v>54</v>
      </c>
      <c r="C3" s="7" t="s">
        <v>50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0">
        <v>3555.98</v>
      </c>
      <c r="W3" s="7">
        <f>X3-V3</f>
        <v>133.46</v>
      </c>
      <c r="X3" s="10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5">
        <v>3909.8</v>
      </c>
      <c r="AE3" s="15">
        <f>AF3-AD3</f>
        <v>98.8399999999997</v>
      </c>
      <c r="AF3" s="15">
        <v>4008.64</v>
      </c>
      <c r="AG3" s="15">
        <f>AH3-AF3</f>
        <v>157.920000000001</v>
      </c>
      <c r="AH3" s="15">
        <v>4166.56</v>
      </c>
      <c r="AI3" s="15">
        <f>AJ3-AH3</f>
        <v>103.339999999999</v>
      </c>
      <c r="AJ3" s="15">
        <v>4269.9</v>
      </c>
      <c r="AK3" s="15">
        <f>AL3-AJ3</f>
        <v>66.25</v>
      </c>
      <c r="AL3" s="15">
        <v>4336.15</v>
      </c>
      <c r="AM3" s="15">
        <f>AN3-AL3</f>
        <v>138.700000000001</v>
      </c>
      <c r="AN3" s="15">
        <v>4474.85</v>
      </c>
      <c r="AO3" s="15">
        <f>AP3-AN3</f>
        <v>78.4499999999998</v>
      </c>
      <c r="AP3" s="15">
        <v>4553.3</v>
      </c>
      <c r="AQ3" s="15">
        <f>AR3-AP3</f>
        <v>56.7699999999995</v>
      </c>
      <c r="AR3" s="15">
        <v>4610.07</v>
      </c>
      <c r="AS3" s="15">
        <f>AT3-AR3</f>
        <v>32.3699999999999</v>
      </c>
      <c r="AT3" s="15">
        <v>4642.44</v>
      </c>
      <c r="AU3" s="20">
        <f>AV3-AT3</f>
        <v>77.6300000000001</v>
      </c>
      <c r="AV3" s="20">
        <v>4720.07</v>
      </c>
      <c r="AW3" s="26">
        <f>AX3-AV3</f>
        <v>121.33</v>
      </c>
      <c r="AX3" s="26">
        <v>4841.4</v>
      </c>
      <c r="AY3" s="26">
        <f>AZ3-AX3</f>
        <v>61.2400000000007</v>
      </c>
      <c r="AZ3" s="26">
        <v>4902.64</v>
      </c>
      <c r="BA3" s="26">
        <f>BB3-AZ3</f>
        <v>64.3099999999995</v>
      </c>
      <c r="BB3" s="26">
        <v>4966.95</v>
      </c>
      <c r="BC3" s="26">
        <f>BD3-BB3</f>
        <v>87.1000000000004</v>
      </c>
      <c r="BD3" s="26">
        <v>5054.05</v>
      </c>
      <c r="BE3" s="20">
        <f>BF3-BD3</f>
        <v>154.29</v>
      </c>
      <c r="BF3" s="26">
        <v>5208.34</v>
      </c>
      <c r="BG3" s="26">
        <f>BH3-BF3</f>
        <v>181.45</v>
      </c>
      <c r="BH3" s="26">
        <v>5389.79</v>
      </c>
      <c r="BI3" s="26">
        <f>BJ3-BH3</f>
        <v>99</v>
      </c>
      <c r="BJ3" s="26">
        <v>5488.79</v>
      </c>
      <c r="BK3" s="26">
        <f>BL3-BJ3</f>
        <v>53.9499999999998</v>
      </c>
      <c r="BL3" s="26">
        <v>5542.74</v>
      </c>
      <c r="BM3" s="26">
        <f>BN3-BL3</f>
        <v>72.0300000000007</v>
      </c>
      <c r="BN3" s="26">
        <v>5614.77</v>
      </c>
      <c r="BO3" s="26">
        <f>BP3-BN3</f>
        <v>122.11</v>
      </c>
      <c r="BP3" s="26">
        <v>5736.88</v>
      </c>
      <c r="BQ3" s="26">
        <f>BR3-BP3</f>
        <v>22.0799999999999</v>
      </c>
      <c r="BR3" s="26">
        <v>5758.96</v>
      </c>
      <c r="BS3" s="20" t="s">
        <v>55</v>
      </c>
      <c r="BT3" s="15">
        <v>1437.17</v>
      </c>
      <c r="BU3" s="15" t="s">
        <v>56</v>
      </c>
      <c r="BV3" s="15">
        <v>1327.12</v>
      </c>
      <c r="BW3" s="7">
        <v>500</v>
      </c>
      <c r="BX3" s="7">
        <v>8.6</v>
      </c>
      <c r="BY3" s="7">
        <v>191519</v>
      </c>
      <c r="BZ3" s="15">
        <f>2.6314/(BR3/BT3)</f>
        <v>0.65667570846125</v>
      </c>
      <c r="CA3" s="15">
        <f>BP3-D3</f>
        <v>3022.78</v>
      </c>
    </row>
    <row r="4" spans="1:79">
      <c r="A4" s="7" t="s">
        <v>57</v>
      </c>
      <c r="B4" s="7" t="s">
        <v>58</v>
      </c>
      <c r="C4" s="7" t="s">
        <v>50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6">
        <f>BP4-BN4</f>
        <v>55.5500000000002</v>
      </c>
      <c r="BP4" s="26">
        <v>4810.99</v>
      </c>
      <c r="BQ4" s="26">
        <f>BR4-BP4</f>
        <v>63.8900000000003</v>
      </c>
      <c r="BR4" s="26">
        <v>4874.88</v>
      </c>
      <c r="BS4" s="20" t="s">
        <v>59</v>
      </c>
      <c r="BT4" s="15">
        <v>1166.57</v>
      </c>
      <c r="BU4" s="15" t="s">
        <v>60</v>
      </c>
      <c r="BV4" s="15">
        <v>1010.07</v>
      </c>
      <c r="BW4" s="7">
        <v>200</v>
      </c>
      <c r="BX4" s="7">
        <v>1.6</v>
      </c>
      <c r="BY4" s="7">
        <v>172501</v>
      </c>
      <c r="BZ4" s="15">
        <f>2.6314/(BR4/BT4)</f>
        <v>0.629700074258238</v>
      </c>
      <c r="CA4" s="15">
        <f>BP4-D4</f>
        <v>2277.14</v>
      </c>
    </row>
    <row r="5" spans="1:79">
      <c r="A5" s="7" t="s">
        <v>61</v>
      </c>
      <c r="B5" s="7" t="s">
        <v>62</v>
      </c>
      <c r="C5" s="7" t="s">
        <v>63</v>
      </c>
      <c r="D5" s="7">
        <v>1754.54</v>
      </c>
      <c r="E5" s="7">
        <f>F5-D5</f>
        <v>53.3700000000001</v>
      </c>
      <c r="F5" s="7">
        <v>1807.91</v>
      </c>
      <c r="G5" s="7">
        <f>H5-F5</f>
        <v>90.24</v>
      </c>
      <c r="H5" s="7">
        <v>1898.15</v>
      </c>
      <c r="I5" s="7">
        <f>J5-H5</f>
        <v>90.3799999999999</v>
      </c>
      <c r="J5" s="7">
        <v>1988.53</v>
      </c>
      <c r="K5" s="7">
        <f>L5-J5</f>
        <v>59.7099999999998</v>
      </c>
      <c r="L5" s="7">
        <v>2048.24</v>
      </c>
      <c r="M5" s="7">
        <f>N5-L5</f>
        <v>153.99</v>
      </c>
      <c r="N5" s="7">
        <v>2202.23</v>
      </c>
      <c r="O5" s="7">
        <f>P5-N5</f>
        <v>64.21</v>
      </c>
      <c r="P5" s="7">
        <v>2266.44</v>
      </c>
      <c r="Q5" s="7">
        <f>R5-P5</f>
        <v>47.5599999999999</v>
      </c>
      <c r="R5" s="7">
        <v>2314</v>
      </c>
      <c r="S5" s="7">
        <f>T5-R5</f>
        <v>59.6500000000001</v>
      </c>
      <c r="T5" s="7">
        <v>2373.65</v>
      </c>
      <c r="U5" s="7">
        <f>V5-T5</f>
        <v>70.6399999999999</v>
      </c>
      <c r="V5" s="10">
        <v>2444.29</v>
      </c>
      <c r="W5" s="7">
        <f>X5-V5</f>
        <v>95.9299999999998</v>
      </c>
      <c r="X5" s="10">
        <v>2540.22</v>
      </c>
      <c r="Y5" s="7">
        <f>Z5-X5</f>
        <v>90.3200000000002</v>
      </c>
      <c r="Z5" s="7">
        <v>2630.54</v>
      </c>
      <c r="AA5" s="7">
        <f>AB5-Z5</f>
        <v>69.7800000000002</v>
      </c>
      <c r="AB5" s="7">
        <v>2700.32</v>
      </c>
      <c r="AC5" s="7">
        <f>AD5-AB5</f>
        <v>57.52</v>
      </c>
      <c r="AD5" s="7">
        <v>2757.84</v>
      </c>
      <c r="AE5" s="15">
        <f>AF5-AD5</f>
        <v>217.06</v>
      </c>
      <c r="AF5" s="15">
        <v>2974.9</v>
      </c>
      <c r="AG5" s="15">
        <f>AH5-AF5</f>
        <v>18.4400000000001</v>
      </c>
      <c r="AH5" s="15">
        <v>2993.34</v>
      </c>
      <c r="AI5" s="15">
        <f>AJ5-AH5</f>
        <v>38.29</v>
      </c>
      <c r="AJ5" s="15">
        <v>3031.63</v>
      </c>
      <c r="AK5" s="15">
        <f>AL5-AJ5</f>
        <v>71.1199999999999</v>
      </c>
      <c r="AL5" s="15">
        <v>3102.75</v>
      </c>
      <c r="AM5" s="15">
        <f>AN5-AL5</f>
        <v>69.4400000000001</v>
      </c>
      <c r="AN5" s="15">
        <v>3172.19</v>
      </c>
      <c r="AO5" s="15">
        <f>AP5-AN5</f>
        <v>69.0799999999999</v>
      </c>
      <c r="AP5" s="15">
        <v>3241.27</v>
      </c>
      <c r="AQ5" s="15">
        <f>AR5-AP5</f>
        <v>24.2199999999998</v>
      </c>
      <c r="AR5" s="15">
        <v>3265.49</v>
      </c>
      <c r="AS5" s="15">
        <f>AT5-AR5</f>
        <v>38.8000000000002</v>
      </c>
      <c r="AT5" s="15">
        <v>3304.29</v>
      </c>
      <c r="AU5" s="20">
        <f>AV5-AT5</f>
        <v>84.8800000000001</v>
      </c>
      <c r="AV5" s="20">
        <v>3389.17</v>
      </c>
      <c r="AW5" s="26">
        <f>AX5-AV5</f>
        <v>63.1199999999999</v>
      </c>
      <c r="AX5" s="26">
        <v>3452.29</v>
      </c>
      <c r="AY5" s="26">
        <f>AZ5-AX5</f>
        <v>-0.860000000000127</v>
      </c>
      <c r="AZ5" s="26">
        <v>3451.43</v>
      </c>
      <c r="BA5" s="26">
        <f>BB5-AZ5</f>
        <v>48.96</v>
      </c>
      <c r="BB5" s="26">
        <v>3500.39</v>
      </c>
      <c r="BC5" s="26">
        <f>BD5-BB5</f>
        <v>54.3800000000001</v>
      </c>
      <c r="BD5" s="26">
        <v>3554.77</v>
      </c>
      <c r="BE5" s="20">
        <f>BF5-BD5</f>
        <v>92.1300000000001</v>
      </c>
      <c r="BF5" s="26">
        <v>3646.9</v>
      </c>
      <c r="BG5" s="26">
        <f>BH5-BF5</f>
        <v>120.14</v>
      </c>
      <c r="BH5" s="26">
        <v>3767.04</v>
      </c>
      <c r="BI5" s="26">
        <f>BJ5-BH5</f>
        <v>36.4200000000001</v>
      </c>
      <c r="BJ5" s="26">
        <v>3803.46</v>
      </c>
      <c r="BK5" s="26">
        <f>BL5-BJ5</f>
        <v>87.1700000000001</v>
      </c>
      <c r="BL5" s="26">
        <v>3890.63</v>
      </c>
      <c r="BM5" s="26">
        <f>BN5-BL5</f>
        <v>20.7599999999998</v>
      </c>
      <c r="BN5" s="26">
        <v>3911.39</v>
      </c>
      <c r="BO5" s="26">
        <f>BP5-BN5</f>
        <v>110.8</v>
      </c>
      <c r="BP5" s="26">
        <v>4022.19</v>
      </c>
      <c r="BQ5" s="26">
        <f>BR5-BP5</f>
        <v>37.6399999999999</v>
      </c>
      <c r="BR5" s="26">
        <v>4059.83</v>
      </c>
      <c r="BS5" s="20" t="s">
        <v>64</v>
      </c>
      <c r="BT5" s="15">
        <v>896.78</v>
      </c>
      <c r="BU5" s="16" t="s">
        <v>65</v>
      </c>
      <c r="BV5" s="16">
        <v>686.88</v>
      </c>
      <c r="BW5" s="1">
        <v>300</v>
      </c>
      <c r="BX5" s="1">
        <v>2.2</v>
      </c>
      <c r="BY5" s="1">
        <v>132783</v>
      </c>
      <c r="BZ5" s="15">
        <f>2.6314/(BR5/BT5)</f>
        <v>0.581252636686758</v>
      </c>
      <c r="CA5" s="15">
        <f>BP5-D5</f>
        <v>2267.65</v>
      </c>
    </row>
    <row r="6" spans="1:79">
      <c r="A6" s="1" t="s">
        <v>48</v>
      </c>
      <c r="B6" s="1" t="s">
        <v>66</v>
      </c>
      <c r="C6" s="1" t="s">
        <v>50</v>
      </c>
      <c r="D6" s="1">
        <v>1966.62</v>
      </c>
      <c r="E6" s="1">
        <f>F6-D6</f>
        <v>49.0200000000002</v>
      </c>
      <c r="F6" s="1">
        <v>2015.64</v>
      </c>
      <c r="G6" s="1">
        <f>H6-F6</f>
        <v>34.1600000000001</v>
      </c>
      <c r="H6" s="1">
        <v>2049.8</v>
      </c>
      <c r="I6" s="1">
        <f>J6-H6</f>
        <v>90.0999999999999</v>
      </c>
      <c r="J6" s="1">
        <v>2139.9</v>
      </c>
      <c r="K6" s="1">
        <f>L6-J6</f>
        <v>53.1700000000001</v>
      </c>
      <c r="L6" s="1">
        <v>2193.07</v>
      </c>
      <c r="M6" s="1">
        <f>N6-L6</f>
        <v>63.9099999999999</v>
      </c>
      <c r="N6" s="1">
        <v>2256.98</v>
      </c>
      <c r="O6" s="1">
        <f>P6-N6</f>
        <v>45.71</v>
      </c>
      <c r="P6" s="1">
        <v>2302.69</v>
      </c>
      <c r="Q6" s="1">
        <f>R6-P6</f>
        <v>37.2199999999998</v>
      </c>
      <c r="R6" s="1">
        <v>2339.91</v>
      </c>
      <c r="S6" s="1">
        <f>T6-R6</f>
        <v>47.3099999999999</v>
      </c>
      <c r="T6" s="1">
        <v>2387.22</v>
      </c>
      <c r="U6" s="1">
        <f>V6-T6</f>
        <v>88.2600000000002</v>
      </c>
      <c r="V6" s="11">
        <v>2475.48</v>
      </c>
      <c r="W6" s="1">
        <f>X6-V6</f>
        <v>67.5900000000001</v>
      </c>
      <c r="X6" s="11">
        <v>2543.07</v>
      </c>
      <c r="Y6" s="1">
        <f>Z6-X6</f>
        <v>22.73</v>
      </c>
      <c r="Z6" s="1">
        <v>2565.8</v>
      </c>
      <c r="AA6" s="1">
        <f>AB6-Z6</f>
        <v>140.25</v>
      </c>
      <c r="AB6" s="1">
        <v>2706.05</v>
      </c>
      <c r="AC6" s="1">
        <f>AD6-AB6</f>
        <v>57.1099999999997</v>
      </c>
      <c r="AD6" s="1">
        <v>2763.16</v>
      </c>
      <c r="AE6" s="16">
        <f>AF6-AD6</f>
        <v>70.9100000000003</v>
      </c>
      <c r="AF6" s="16">
        <v>2834.07</v>
      </c>
      <c r="AG6" s="16">
        <f>AH6-AF6</f>
        <v>94.4299999999998</v>
      </c>
      <c r="AH6" s="16">
        <v>2928.5</v>
      </c>
      <c r="AI6" s="16">
        <f>AJ6-AH6</f>
        <v>73.54</v>
      </c>
      <c r="AJ6" s="16">
        <v>3002.04</v>
      </c>
      <c r="AK6" s="16">
        <f>AL6-AJ6</f>
        <v>70.8800000000001</v>
      </c>
      <c r="AL6" s="16">
        <v>3072.92</v>
      </c>
      <c r="AM6" s="16">
        <f>AN6-AL6</f>
        <v>172.04</v>
      </c>
      <c r="AN6" s="16">
        <v>3244.96</v>
      </c>
      <c r="AO6" s="16">
        <f>AP6-AN6</f>
        <v>96.75</v>
      </c>
      <c r="AP6" s="16">
        <v>3341.71</v>
      </c>
      <c r="AQ6" s="16">
        <f>AR6-AP6</f>
        <v>25.3299999999999</v>
      </c>
      <c r="AR6" s="16">
        <v>3367.04</v>
      </c>
      <c r="AS6" s="16">
        <f>AT6-AR6</f>
        <v>88.6599999999999</v>
      </c>
      <c r="AT6" s="16">
        <v>3455.7</v>
      </c>
      <c r="AU6" s="21">
        <f>AV6-AT6</f>
        <v>52.0900000000001</v>
      </c>
      <c r="AV6" s="21">
        <v>3507.79</v>
      </c>
      <c r="AW6" s="27">
        <f>AX6-AV6</f>
        <v>61.0100000000002</v>
      </c>
      <c r="AX6" s="27">
        <v>3568.8</v>
      </c>
      <c r="AY6" s="27">
        <f>AZ6-AX6</f>
        <v>55.9899999999998</v>
      </c>
      <c r="AZ6" s="27">
        <v>3624.79</v>
      </c>
      <c r="BA6" s="27">
        <f>BB6-AZ6</f>
        <v>44.54</v>
      </c>
      <c r="BB6" s="27">
        <v>3669.33</v>
      </c>
      <c r="BC6" s="27">
        <f>BD6-BB6</f>
        <v>42.29</v>
      </c>
      <c r="BD6" s="27">
        <v>3711.62</v>
      </c>
      <c r="BE6" s="21">
        <f>BF6-BD6</f>
        <v>49.5100000000002</v>
      </c>
      <c r="BF6" s="27">
        <v>3761.13</v>
      </c>
      <c r="BG6" s="27">
        <f>BH6-BF6</f>
        <v>71.8099999999999</v>
      </c>
      <c r="BH6" s="27">
        <v>3832.94</v>
      </c>
      <c r="BI6" s="27">
        <f>BJ6-BH6</f>
        <v>13.6599999999999</v>
      </c>
      <c r="BJ6" s="27">
        <v>3846.6</v>
      </c>
      <c r="BK6" s="27">
        <f>BL6-BJ6</f>
        <v>44.6300000000001</v>
      </c>
      <c r="BL6" s="27">
        <v>3891.23</v>
      </c>
      <c r="BM6" s="27">
        <f>BN6-BL6</f>
        <v>34.5099999999998</v>
      </c>
      <c r="BN6" s="27">
        <v>3925.74</v>
      </c>
      <c r="BO6" s="27">
        <f>BP6-BN6</f>
        <v>42.0100000000002</v>
      </c>
      <c r="BP6" s="27">
        <v>3967.75</v>
      </c>
      <c r="BQ6" s="27">
        <f>BR6-BP6</f>
        <v>42.7600000000002</v>
      </c>
      <c r="BR6" s="27">
        <v>4010.51</v>
      </c>
      <c r="BS6" s="21" t="s">
        <v>67</v>
      </c>
      <c r="BT6" s="16">
        <v>1486.92</v>
      </c>
      <c r="BU6" s="16" t="s">
        <v>68</v>
      </c>
      <c r="BV6" s="16">
        <v>1163.02</v>
      </c>
      <c r="BW6" s="1">
        <v>65</v>
      </c>
      <c r="BX6" s="1">
        <v>1.2</v>
      </c>
      <c r="BY6" s="1">
        <v>130589</v>
      </c>
      <c r="BZ6" s="15">
        <f>2.6314/(BR6/BT6)</f>
        <v>0.975606914831281</v>
      </c>
      <c r="CA6" s="15">
        <f>BP6-D6</f>
        <v>2001.13</v>
      </c>
    </row>
    <row r="7" spans="1:79">
      <c r="A7" s="1" t="s">
        <v>61</v>
      </c>
      <c r="B7" s="1" t="s">
        <v>69</v>
      </c>
      <c r="C7" s="1" t="s">
        <v>50</v>
      </c>
      <c r="D7" s="1">
        <v>2136.24</v>
      </c>
      <c r="E7" s="1">
        <f>F7-D7</f>
        <v>40.8200000000002</v>
      </c>
      <c r="F7" s="1">
        <v>2177.06</v>
      </c>
      <c r="G7" s="1">
        <f>H7-F7</f>
        <v>62.5999999999999</v>
      </c>
      <c r="H7" s="1">
        <v>2239.66</v>
      </c>
      <c r="I7" s="1">
        <f>J7-H7</f>
        <v>47.0700000000002</v>
      </c>
      <c r="J7" s="1">
        <v>2286.73</v>
      </c>
      <c r="K7" s="1">
        <f>L7-J7</f>
        <v>25.52</v>
      </c>
      <c r="L7" s="1">
        <v>2312.25</v>
      </c>
      <c r="M7" s="1">
        <f>N7-L7</f>
        <v>36.7800000000002</v>
      </c>
      <c r="N7" s="1">
        <v>2349.03</v>
      </c>
      <c r="O7" s="1">
        <f>P7-N7</f>
        <v>-18.02</v>
      </c>
      <c r="P7" s="1">
        <v>2331.01</v>
      </c>
      <c r="Q7" s="1">
        <f>R7-P7</f>
        <v>62.7599999999998</v>
      </c>
      <c r="R7" s="1">
        <v>2393.77</v>
      </c>
      <c r="S7" s="1">
        <f>T7-R7</f>
        <v>55.5599999999999</v>
      </c>
      <c r="T7" s="1">
        <v>2449.33</v>
      </c>
      <c r="U7" s="1">
        <f>V7-T7</f>
        <v>31.96</v>
      </c>
      <c r="V7" s="11">
        <v>2481.29</v>
      </c>
      <c r="W7" s="1">
        <f>X7-V7</f>
        <v>109.47</v>
      </c>
      <c r="X7" s="11">
        <v>2590.76</v>
      </c>
      <c r="Y7" s="1">
        <f>Z7-X7</f>
        <v>20.4299999999998</v>
      </c>
      <c r="Z7" s="1">
        <v>2611.19</v>
      </c>
      <c r="AA7" s="1">
        <f>AB7-Z7</f>
        <v>32.9899999999998</v>
      </c>
      <c r="AB7" s="1">
        <v>2644.18</v>
      </c>
      <c r="AC7" s="1">
        <f>AD7-AB7</f>
        <v>45.9000000000001</v>
      </c>
      <c r="AD7" s="1">
        <v>2690.08</v>
      </c>
      <c r="AE7" s="16">
        <f>AF7-AD7</f>
        <v>62.79</v>
      </c>
      <c r="AF7" s="16">
        <v>2752.87</v>
      </c>
      <c r="AG7" s="16">
        <f>AH7-AF7</f>
        <v>72.2800000000002</v>
      </c>
      <c r="AH7" s="16">
        <v>2825.15</v>
      </c>
      <c r="AI7" s="16">
        <f>AJ7-AH7</f>
        <v>38.1900000000001</v>
      </c>
      <c r="AJ7" s="16">
        <v>2863.34</v>
      </c>
      <c r="AK7" s="16">
        <f>AL7-AJ7</f>
        <v>82.1299999999997</v>
      </c>
      <c r="AL7" s="16">
        <v>2945.47</v>
      </c>
      <c r="AM7" s="16">
        <f>AN7-AL7</f>
        <v>39.5400000000004</v>
      </c>
      <c r="AN7" s="16">
        <v>2985.01</v>
      </c>
      <c r="AO7" s="16">
        <f>AP7-AN7</f>
        <v>42.0499999999997</v>
      </c>
      <c r="AP7" s="16">
        <v>3027.06</v>
      </c>
      <c r="AQ7" s="16">
        <f>AR7-AP7</f>
        <v>50.5799999999999</v>
      </c>
      <c r="AR7" s="16">
        <v>3077.64</v>
      </c>
      <c r="AS7" s="16">
        <f>AT7-AR7</f>
        <v>42.5599999999999</v>
      </c>
      <c r="AT7" s="16">
        <v>3120.2</v>
      </c>
      <c r="AU7" s="21">
        <f>AV7-AT7</f>
        <v>91.8800000000001</v>
      </c>
      <c r="AV7" s="21">
        <v>3212.08</v>
      </c>
      <c r="AW7" s="27">
        <f>AX7-AV7</f>
        <v>74.0500000000002</v>
      </c>
      <c r="AX7" s="27">
        <v>3286.13</v>
      </c>
      <c r="AY7" s="27">
        <f>AZ7-AX7</f>
        <v>43.98</v>
      </c>
      <c r="AZ7" s="27">
        <v>3330.11</v>
      </c>
      <c r="BA7" s="27">
        <f>BB7-AZ7</f>
        <v>35.3499999999999</v>
      </c>
      <c r="BB7" s="27">
        <v>3365.46</v>
      </c>
      <c r="BC7" s="27">
        <f>BD7-BB7</f>
        <v>38.3899999999999</v>
      </c>
      <c r="BD7" s="27">
        <v>3403.85</v>
      </c>
      <c r="BE7" s="21">
        <f>BF7-BD7</f>
        <v>53.21</v>
      </c>
      <c r="BF7" s="27">
        <v>3457.06</v>
      </c>
      <c r="BG7" s="27">
        <f>BH7-BF7</f>
        <v>115.36</v>
      </c>
      <c r="BH7" s="27">
        <v>3572.42</v>
      </c>
      <c r="BI7" s="27">
        <f>BJ7-BH7</f>
        <v>19.0799999999999</v>
      </c>
      <c r="BJ7" s="27">
        <v>3591.5</v>
      </c>
      <c r="BK7" s="27">
        <f>BL7-BJ7</f>
        <v>50.9499999999998</v>
      </c>
      <c r="BL7" s="27">
        <v>3642.45</v>
      </c>
      <c r="BM7" s="27">
        <f>BN7-BL7</f>
        <v>32.1300000000001</v>
      </c>
      <c r="BN7" s="27">
        <v>3674.58</v>
      </c>
      <c r="BO7" s="27">
        <f>BP7-BN7</f>
        <v>46.4099999999999</v>
      </c>
      <c r="BP7" s="27">
        <v>3720.99</v>
      </c>
      <c r="BQ7" s="27">
        <f>BR7-BP7</f>
        <v>52.0300000000002</v>
      </c>
      <c r="BR7" s="27">
        <v>3773.02</v>
      </c>
      <c r="BS7" s="21" t="s">
        <v>68</v>
      </c>
      <c r="BT7" s="16">
        <v>1353.72</v>
      </c>
      <c r="BU7" s="16" t="s">
        <v>67</v>
      </c>
      <c r="BV7" s="16">
        <v>1211.82</v>
      </c>
      <c r="BW7" s="1">
        <v>20</v>
      </c>
      <c r="BX7" s="1">
        <v>1.2</v>
      </c>
      <c r="BY7" s="1">
        <v>153852</v>
      </c>
      <c r="BZ7" s="15">
        <f>2.6314/(BR7/BT7)</f>
        <v>0.944118718692188</v>
      </c>
      <c r="CA7" s="15">
        <f>BP7-D7</f>
        <v>1584.75</v>
      </c>
    </row>
    <row r="8" spans="1:79">
      <c r="A8" s="1" t="s">
        <v>70</v>
      </c>
      <c r="B8" s="1" t="s">
        <v>71</v>
      </c>
      <c r="C8" s="1" t="s">
        <v>72</v>
      </c>
      <c r="D8" s="1">
        <v>1735.94</v>
      </c>
      <c r="E8" s="1">
        <f>F8-D8</f>
        <v>48.5999999999999</v>
      </c>
      <c r="F8" s="1">
        <v>1784.54</v>
      </c>
      <c r="G8" s="1">
        <f>H8-F8</f>
        <v>74.1600000000001</v>
      </c>
      <c r="H8" s="1">
        <v>1858.7</v>
      </c>
      <c r="I8" s="1">
        <f>J8-H8</f>
        <v>65.55</v>
      </c>
      <c r="J8" s="1">
        <v>1924.25</v>
      </c>
      <c r="K8" s="1">
        <f>L8-J8</f>
        <v>35.73</v>
      </c>
      <c r="L8" s="1">
        <v>1959.98</v>
      </c>
      <c r="M8" s="1">
        <f>N8-L8</f>
        <v>41.8799999999999</v>
      </c>
      <c r="N8" s="1">
        <v>2001.86</v>
      </c>
      <c r="O8" s="1">
        <f>P8-N8</f>
        <v>74.6600000000001</v>
      </c>
      <c r="P8" s="1">
        <v>2076.52</v>
      </c>
      <c r="Q8" s="1">
        <f>R8-P8</f>
        <v>48.71</v>
      </c>
      <c r="R8" s="1">
        <v>2125.23</v>
      </c>
      <c r="S8" s="1">
        <f>T8-R8</f>
        <v>57.4200000000001</v>
      </c>
      <c r="T8" s="1">
        <v>2182.65</v>
      </c>
      <c r="U8" s="1">
        <f>V8-T8</f>
        <v>68.9400000000001</v>
      </c>
      <c r="V8" s="11">
        <v>2251.59</v>
      </c>
      <c r="W8" s="1">
        <f>X8-V8</f>
        <v>72.0299999999997</v>
      </c>
      <c r="X8" s="11">
        <v>2323.62</v>
      </c>
      <c r="Y8" s="1">
        <f>Z8-X8</f>
        <v>23.6300000000001</v>
      </c>
      <c r="Z8" s="1">
        <v>2347.25</v>
      </c>
      <c r="AA8" s="1">
        <f>AB8-Z8</f>
        <v>64.5300000000002</v>
      </c>
      <c r="AB8" s="1">
        <v>2411.78</v>
      </c>
      <c r="AC8" s="1">
        <f>AD8-AB8</f>
        <v>30.2599999999998</v>
      </c>
      <c r="AD8" s="1">
        <v>2442.04</v>
      </c>
      <c r="AE8" s="16">
        <f>AF8-AD8</f>
        <v>104.94</v>
      </c>
      <c r="AF8" s="16">
        <v>2546.98</v>
      </c>
      <c r="AG8" s="16">
        <f>AH8-AF8</f>
        <v>38.04</v>
      </c>
      <c r="AH8" s="16">
        <v>2585.02</v>
      </c>
      <c r="AI8" s="16">
        <f>AJ8-AH8</f>
        <v>96.6999999999998</v>
      </c>
      <c r="AJ8" s="16">
        <v>2681.72</v>
      </c>
      <c r="AK8" s="16">
        <f>AL8-AJ8</f>
        <v>66.25</v>
      </c>
      <c r="AL8" s="16">
        <v>2747.97</v>
      </c>
      <c r="AM8" s="16">
        <f>AN8-AL8</f>
        <v>75.9900000000002</v>
      </c>
      <c r="AN8" s="16">
        <v>2823.96</v>
      </c>
      <c r="AO8" s="16">
        <f>AP8-AN8</f>
        <v>50.5</v>
      </c>
      <c r="AP8" s="16">
        <v>2874.46</v>
      </c>
      <c r="AQ8" s="16">
        <f>AR8-AP8</f>
        <v>48.75</v>
      </c>
      <c r="AR8" s="16">
        <v>2923.21</v>
      </c>
      <c r="AS8" s="16">
        <f>AT8-AR8</f>
        <v>48.6399999999999</v>
      </c>
      <c r="AT8" s="16">
        <v>2971.85</v>
      </c>
      <c r="AU8" s="21">
        <f>AV8-AT8</f>
        <v>75.46</v>
      </c>
      <c r="AV8" s="21">
        <v>3047.31</v>
      </c>
      <c r="AW8" s="27">
        <f>AX8-AV8</f>
        <v>81.1599999999999</v>
      </c>
      <c r="AX8" s="27">
        <v>3128.47</v>
      </c>
      <c r="AY8" s="27">
        <f>AZ8-AX8</f>
        <v>52.8700000000003</v>
      </c>
      <c r="AZ8" s="27">
        <v>3181.34</v>
      </c>
      <c r="BA8" s="27">
        <f>BB8-AZ8</f>
        <v>65.5899999999997</v>
      </c>
      <c r="BB8" s="27">
        <v>3246.93</v>
      </c>
      <c r="BC8" s="27">
        <f>BD8-BB8</f>
        <v>50.3800000000001</v>
      </c>
      <c r="BD8" s="27">
        <v>3297.31</v>
      </c>
      <c r="BE8" s="21">
        <f>BF8-BD8</f>
        <v>85.7800000000002</v>
      </c>
      <c r="BF8" s="27">
        <v>3383.09</v>
      </c>
      <c r="BG8" s="27">
        <f>BH8-BF8</f>
        <v>41.6399999999999</v>
      </c>
      <c r="BH8" s="27">
        <v>3424.73</v>
      </c>
      <c r="BI8" s="27">
        <f>BJ8-BH8</f>
        <v>54.73</v>
      </c>
      <c r="BJ8" s="27">
        <v>3479.46</v>
      </c>
      <c r="BK8" s="27">
        <f>BL8-BJ8</f>
        <v>94.9299999999998</v>
      </c>
      <c r="BL8" s="27">
        <v>3574.39</v>
      </c>
      <c r="BM8" s="27">
        <f>BN8-BL8</f>
        <v>44.52</v>
      </c>
      <c r="BN8" s="27">
        <v>3618.91</v>
      </c>
      <c r="BO8" s="27">
        <f>BP8-BN8</f>
        <v>61.5500000000002</v>
      </c>
      <c r="BP8" s="27">
        <v>3680.46</v>
      </c>
      <c r="BQ8" s="27">
        <f>BR8-BP8</f>
        <v>71.6100000000001</v>
      </c>
      <c r="BR8" s="27">
        <v>3752.07</v>
      </c>
      <c r="BS8" s="21" t="s">
        <v>73</v>
      </c>
      <c r="BT8" s="16">
        <v>894.87</v>
      </c>
      <c r="BU8" s="16" t="s">
        <v>74</v>
      </c>
      <c r="BV8" s="16">
        <v>824.67</v>
      </c>
      <c r="BW8" s="1">
        <v>80</v>
      </c>
      <c r="BX8" s="1">
        <v>7.2</v>
      </c>
      <c r="BY8" s="1">
        <v>150192</v>
      </c>
      <c r="BZ8" s="15">
        <f>2.6314/(BR8/BT8)</f>
        <v>0.627589815221998</v>
      </c>
      <c r="CA8" s="15">
        <f>BP8-D8</f>
        <v>1944.52</v>
      </c>
    </row>
    <row r="9" spans="1:79">
      <c r="A9" s="1" t="s">
        <v>53</v>
      </c>
      <c r="B9" s="1" t="s">
        <v>75</v>
      </c>
      <c r="C9" s="1" t="s">
        <v>72</v>
      </c>
      <c r="D9" s="1">
        <v>1350.52</v>
      </c>
      <c r="E9" s="1">
        <f>F9-D9</f>
        <v>52.6800000000001</v>
      </c>
      <c r="F9" s="1">
        <v>1403.2</v>
      </c>
      <c r="G9" s="1">
        <f>H9-F9</f>
        <v>55.3199999999999</v>
      </c>
      <c r="H9" s="1">
        <v>1458.52</v>
      </c>
      <c r="I9" s="1">
        <f>J9-H9</f>
        <v>32.6800000000001</v>
      </c>
      <c r="J9" s="1">
        <v>1491.2</v>
      </c>
      <c r="K9" s="1">
        <f>L9-J9</f>
        <v>54.96</v>
      </c>
      <c r="L9" s="1">
        <v>1546.16</v>
      </c>
      <c r="M9" s="1">
        <f>N9-L9</f>
        <v>92.1299999999999</v>
      </c>
      <c r="N9" s="1">
        <v>1638.29</v>
      </c>
      <c r="O9" s="1">
        <f>P9-N9</f>
        <v>59.4400000000001</v>
      </c>
      <c r="P9" s="1">
        <v>1697.73</v>
      </c>
      <c r="Q9" s="1">
        <f>R9-P9</f>
        <v>71.3399999999999</v>
      </c>
      <c r="R9" s="1">
        <v>1769.07</v>
      </c>
      <c r="S9" s="1">
        <f>T9-R9</f>
        <v>62.9000000000001</v>
      </c>
      <c r="T9" s="1">
        <v>1831.97</v>
      </c>
      <c r="U9" s="1">
        <f>V9-T9</f>
        <v>66.5899999999999</v>
      </c>
      <c r="V9" s="11">
        <v>1898.56</v>
      </c>
      <c r="W9" s="1">
        <f>X9-V9</f>
        <v>48.77</v>
      </c>
      <c r="X9" s="11">
        <v>1947.33</v>
      </c>
      <c r="Y9" s="1">
        <f>Z9-X9</f>
        <v>59.47</v>
      </c>
      <c r="Z9" s="1">
        <v>2006.8</v>
      </c>
      <c r="AA9" s="1">
        <f>AB9-Z9</f>
        <v>82.3900000000001</v>
      </c>
      <c r="AB9" s="1">
        <v>2089.19</v>
      </c>
      <c r="AC9" s="1">
        <f>AD9-AB9</f>
        <v>98.8200000000002</v>
      </c>
      <c r="AD9" s="1">
        <v>2188.01</v>
      </c>
      <c r="AE9" s="16">
        <f>AF9-AD9</f>
        <v>16.2299999999996</v>
      </c>
      <c r="AF9" s="16">
        <v>2204.24</v>
      </c>
      <c r="AG9" s="16">
        <f>AH9-AF9</f>
        <v>95.3900000000003</v>
      </c>
      <c r="AH9" s="16">
        <v>2299.63</v>
      </c>
      <c r="AI9" s="16">
        <f>AJ9-AH9</f>
        <v>60.0299999999997</v>
      </c>
      <c r="AJ9" s="16">
        <v>2359.66</v>
      </c>
      <c r="AK9" s="16">
        <f>AL9-AJ9</f>
        <v>45.3800000000001</v>
      </c>
      <c r="AL9" s="16">
        <v>2405.04</v>
      </c>
      <c r="AM9" s="16">
        <f>AN9-AL9</f>
        <v>44.75</v>
      </c>
      <c r="AN9" s="16">
        <v>2449.79</v>
      </c>
      <c r="AO9" s="16">
        <f>AP9-AN9</f>
        <v>67.21</v>
      </c>
      <c r="AP9" s="16">
        <v>2517</v>
      </c>
      <c r="AQ9" s="16">
        <f>AR9-AP9</f>
        <v>77.1799999999998</v>
      </c>
      <c r="AR9" s="16">
        <v>2594.18</v>
      </c>
      <c r="AS9" s="16">
        <f>AT9-AR9</f>
        <v>66.6600000000003</v>
      </c>
      <c r="AT9" s="16">
        <v>2660.84</v>
      </c>
      <c r="AU9" s="21">
        <f>AV9-AT9</f>
        <v>56.3799999999997</v>
      </c>
      <c r="AV9" s="21">
        <v>2717.22</v>
      </c>
      <c r="AW9" s="27">
        <f>AX9-AV9</f>
        <v>98.5600000000004</v>
      </c>
      <c r="AX9" s="27">
        <v>2815.78</v>
      </c>
      <c r="AY9" s="27">
        <f>AZ9-AX9</f>
        <v>69.3599999999997</v>
      </c>
      <c r="AZ9" s="27">
        <v>2885.14</v>
      </c>
      <c r="BA9" s="27">
        <f>BB9-AZ9</f>
        <v>51.7000000000003</v>
      </c>
      <c r="BB9" s="27">
        <v>2936.84</v>
      </c>
      <c r="BC9" s="27">
        <f>BD9-BB9</f>
        <v>48.27</v>
      </c>
      <c r="BD9" s="27">
        <v>2985.11</v>
      </c>
      <c r="BE9" s="21">
        <f>BF9-BD9</f>
        <v>116.59</v>
      </c>
      <c r="BF9" s="27">
        <v>3101.7</v>
      </c>
      <c r="BG9" s="27">
        <f>BH9-BF9</f>
        <v>105.88</v>
      </c>
      <c r="BH9" s="27">
        <v>3207.58</v>
      </c>
      <c r="BI9" s="27">
        <f>BJ9-BH9</f>
        <v>53.5500000000002</v>
      </c>
      <c r="BJ9" s="27">
        <v>3261.13</v>
      </c>
      <c r="BK9" s="27">
        <f>BL9-BJ9</f>
        <v>69.3499999999999</v>
      </c>
      <c r="BL9" s="27">
        <v>3330.48</v>
      </c>
      <c r="BM9" s="27">
        <f>BN9-BL9</f>
        <v>51.21</v>
      </c>
      <c r="BN9" s="27">
        <v>3381.69</v>
      </c>
      <c r="BO9" s="27">
        <f>BP9-BN9</f>
        <v>73.3899999999999</v>
      </c>
      <c r="BP9" s="27">
        <v>3455.08</v>
      </c>
      <c r="BQ9" s="27">
        <f>BR9-BP9</f>
        <v>51.1500000000001</v>
      </c>
      <c r="BR9" s="27">
        <v>3506.23</v>
      </c>
      <c r="BS9" s="21" t="s">
        <v>60</v>
      </c>
      <c r="BT9" s="16">
        <v>1030.12</v>
      </c>
      <c r="BU9" s="16" t="s">
        <v>76</v>
      </c>
      <c r="BV9" s="16">
        <v>896.02</v>
      </c>
      <c r="BW9" s="1">
        <v>65</v>
      </c>
      <c r="BX9" s="1">
        <v>1.4</v>
      </c>
      <c r="BY9" s="1">
        <v>127603</v>
      </c>
      <c r="BZ9" s="15">
        <f>2.6314/(BR9/BT9)</f>
        <v>0.773097534388788</v>
      </c>
      <c r="CA9" s="15">
        <f>BP9-D9</f>
        <v>2104.56</v>
      </c>
    </row>
    <row r="10" spans="1:79">
      <c r="A10" s="1" t="s">
        <v>61</v>
      </c>
      <c r="B10" s="1" t="s">
        <v>77</v>
      </c>
      <c r="C10" s="1" t="s">
        <v>78</v>
      </c>
      <c r="D10" s="1">
        <v>1726.42</v>
      </c>
      <c r="E10" s="1">
        <f>F10-D10</f>
        <v>56.28</v>
      </c>
      <c r="F10" s="1">
        <v>1782.7</v>
      </c>
      <c r="G10" s="1">
        <f>H10-F10</f>
        <v>70.9199999999998</v>
      </c>
      <c r="H10" s="1">
        <v>1853.62</v>
      </c>
      <c r="I10" s="1">
        <f>J10-H10</f>
        <v>49.5800000000002</v>
      </c>
      <c r="J10" s="1">
        <v>1903.2</v>
      </c>
      <c r="K10" s="1">
        <f>L10-J10</f>
        <v>40.4099999999999</v>
      </c>
      <c r="L10" s="1">
        <v>1943.61</v>
      </c>
      <c r="M10" s="1">
        <f>N10-L10</f>
        <v>30.01</v>
      </c>
      <c r="N10" s="1">
        <v>1973.62</v>
      </c>
      <c r="O10" s="1">
        <f>P10-N10</f>
        <v>83.2800000000002</v>
      </c>
      <c r="P10" s="1">
        <v>2056.9</v>
      </c>
      <c r="Q10" s="1">
        <f>R10-P10</f>
        <v>25.6399999999999</v>
      </c>
      <c r="R10" s="1">
        <v>2082.54</v>
      </c>
      <c r="S10" s="1">
        <f>T10-R10</f>
        <v>66.46</v>
      </c>
      <c r="T10" s="1">
        <v>2149</v>
      </c>
      <c r="U10" s="1">
        <f>V10-T10</f>
        <v>43.5599999999999</v>
      </c>
      <c r="V10" s="11">
        <v>2192.56</v>
      </c>
      <c r="W10" s="1">
        <f>X10-V10</f>
        <v>46.3200000000002</v>
      </c>
      <c r="X10" s="11">
        <v>2238.88</v>
      </c>
      <c r="Y10" s="1">
        <f>Z10-X10</f>
        <v>17.23</v>
      </c>
      <c r="Z10" s="1">
        <v>2256.11</v>
      </c>
      <c r="AA10" s="1">
        <f>AB10-Z10</f>
        <v>97.5799999999999</v>
      </c>
      <c r="AB10" s="1">
        <v>2353.69</v>
      </c>
      <c r="AC10" s="1">
        <f>AD10-AB10</f>
        <v>58.8600000000001</v>
      </c>
      <c r="AD10" s="1">
        <v>2412.55</v>
      </c>
      <c r="AE10" s="16">
        <f>AF10-AD10</f>
        <v>33.52</v>
      </c>
      <c r="AF10" s="16">
        <v>2446.07</v>
      </c>
      <c r="AG10" s="16">
        <f>AH10-AF10</f>
        <v>77.4199999999996</v>
      </c>
      <c r="AH10" s="16">
        <v>2523.49</v>
      </c>
      <c r="AI10" s="16">
        <f>AJ10-AH10</f>
        <v>44.5500000000002</v>
      </c>
      <c r="AJ10" s="16">
        <v>2568.04</v>
      </c>
      <c r="AK10" s="16">
        <f>AL10-AJ10</f>
        <v>60.6700000000001</v>
      </c>
      <c r="AL10" s="16">
        <v>2628.71</v>
      </c>
      <c r="AM10" s="16">
        <f>AN10-AL10</f>
        <v>38.8600000000001</v>
      </c>
      <c r="AN10" s="16">
        <v>2667.57</v>
      </c>
      <c r="AO10" s="16">
        <f>AP10-AN10</f>
        <v>40.96</v>
      </c>
      <c r="AP10" s="16">
        <v>2708.53</v>
      </c>
      <c r="AQ10" s="16">
        <f>AR10-AP10</f>
        <v>53.2099999999996</v>
      </c>
      <c r="AR10" s="16">
        <v>2761.74</v>
      </c>
      <c r="AS10" s="16">
        <f>AT10-AR10</f>
        <v>44</v>
      </c>
      <c r="AT10" s="16">
        <v>2805.74</v>
      </c>
      <c r="AU10" s="21">
        <f>AV10-AT10</f>
        <v>57.5</v>
      </c>
      <c r="AV10" s="21">
        <v>2863.24</v>
      </c>
      <c r="AW10" s="27">
        <f>AX10-AV10</f>
        <v>54.4300000000003</v>
      </c>
      <c r="AX10" s="27">
        <v>2917.67</v>
      </c>
      <c r="AY10" s="27">
        <f>AZ10-AX10</f>
        <v>56.3800000000001</v>
      </c>
      <c r="AZ10" s="27">
        <v>2974.05</v>
      </c>
      <c r="BA10" s="27">
        <f>BB10-AZ10</f>
        <v>41.4399999999996</v>
      </c>
      <c r="BB10" s="27">
        <v>3015.49</v>
      </c>
      <c r="BC10" s="27">
        <f>BD10-BB10</f>
        <v>42.1400000000003</v>
      </c>
      <c r="BD10" s="27">
        <v>3057.63</v>
      </c>
      <c r="BE10" s="21">
        <f>BF10-BD10</f>
        <v>43.9899999999998</v>
      </c>
      <c r="BF10" s="27">
        <v>3101.62</v>
      </c>
      <c r="BG10" s="27">
        <f>BH10-BF10</f>
        <v>105.04</v>
      </c>
      <c r="BH10" s="27">
        <v>3206.66</v>
      </c>
      <c r="BI10" s="27">
        <f>BJ10-BH10</f>
        <v>38.7800000000002</v>
      </c>
      <c r="BJ10" s="27">
        <v>3245.44</v>
      </c>
      <c r="BK10" s="27">
        <f>BL10-BJ10</f>
        <v>30.5099999999998</v>
      </c>
      <c r="BL10" s="27">
        <v>3275.95</v>
      </c>
      <c r="BM10" s="27">
        <f>BN10-BL10</f>
        <v>44.8600000000001</v>
      </c>
      <c r="BN10" s="27">
        <v>3320.81</v>
      </c>
      <c r="BO10" s="27">
        <f>BP10-BN10</f>
        <v>59.8400000000001</v>
      </c>
      <c r="BP10" s="27">
        <v>3380.65</v>
      </c>
      <c r="BQ10" s="27">
        <f>BR10-BP10</f>
        <v>24.6300000000001</v>
      </c>
      <c r="BR10" s="27">
        <v>3405.28</v>
      </c>
      <c r="BS10" s="21" t="s">
        <v>60</v>
      </c>
      <c r="BT10" s="16">
        <v>902.47</v>
      </c>
      <c r="BU10" s="16" t="s">
        <v>76</v>
      </c>
      <c r="BV10" s="16">
        <v>754.67</v>
      </c>
      <c r="BW10" s="1">
        <v>50</v>
      </c>
      <c r="BX10" s="1">
        <v>1.3</v>
      </c>
      <c r="BY10" s="1">
        <v>124763</v>
      </c>
      <c r="BZ10" s="15">
        <f>2.6314/(BR10/BT10)</f>
        <v>0.697375710073768</v>
      </c>
      <c r="CA10" s="15">
        <f>BP10-D10</f>
        <v>1654.23</v>
      </c>
    </row>
    <row r="11" spans="1:79">
      <c r="A11" s="1" t="s">
        <v>61</v>
      </c>
      <c r="B11" s="1" t="s">
        <v>79</v>
      </c>
      <c r="C11" s="1" t="s">
        <v>78</v>
      </c>
      <c r="D11" s="1">
        <v>1425.22</v>
      </c>
      <c r="E11" s="1">
        <f>F11-D11</f>
        <v>64.8599999999999</v>
      </c>
      <c r="F11" s="1">
        <v>1490.08</v>
      </c>
      <c r="G11" s="1">
        <f>H11-F11</f>
        <v>46</v>
      </c>
      <c r="H11" s="1">
        <v>1536.08</v>
      </c>
      <c r="I11" s="1">
        <f>J11-H11</f>
        <v>50.8500000000001</v>
      </c>
      <c r="J11" s="1">
        <v>1586.93</v>
      </c>
      <c r="K11" s="1">
        <f>L11-J11</f>
        <v>86.5599999999999</v>
      </c>
      <c r="L11" s="1">
        <v>1673.49</v>
      </c>
      <c r="M11" s="1">
        <f>N11-L11</f>
        <v>38.5599999999999</v>
      </c>
      <c r="N11" s="1">
        <v>1712.05</v>
      </c>
      <c r="O11" s="1">
        <f>P11-N11</f>
        <v>57.0900000000001</v>
      </c>
      <c r="P11" s="1">
        <v>1769.14</v>
      </c>
      <c r="Q11" s="1">
        <f>R11-P11</f>
        <v>50.8699999999999</v>
      </c>
      <c r="R11" s="1">
        <v>1820.01</v>
      </c>
      <c r="S11" s="1">
        <f>T11-R11</f>
        <v>94.4300000000001</v>
      </c>
      <c r="T11" s="1">
        <v>1914.44</v>
      </c>
      <c r="U11" s="1">
        <f>V11-T11</f>
        <v>31.51</v>
      </c>
      <c r="V11" s="11">
        <v>1945.95</v>
      </c>
      <c r="W11" s="1">
        <f>X11-V11</f>
        <v>92.5899999999999</v>
      </c>
      <c r="X11" s="11">
        <v>2038.54</v>
      </c>
      <c r="Y11" s="1">
        <f>Z11-X11</f>
        <v>48.1399999999999</v>
      </c>
      <c r="Z11" s="1">
        <v>2086.68</v>
      </c>
      <c r="AA11" s="1">
        <f>AB11-Z11</f>
        <v>78.1300000000001</v>
      </c>
      <c r="AB11" s="1">
        <v>2164.81</v>
      </c>
      <c r="AC11" s="1">
        <f>AD11-AB11</f>
        <v>39.8400000000001</v>
      </c>
      <c r="AD11" s="1">
        <v>2204.65</v>
      </c>
      <c r="AE11" s="16">
        <f>AF11-AD11</f>
        <v>79.98</v>
      </c>
      <c r="AF11" s="16">
        <v>2284.63</v>
      </c>
      <c r="AG11" s="16">
        <f>AH11-AF11</f>
        <v>35.54</v>
      </c>
      <c r="AH11" s="16">
        <v>2320.17</v>
      </c>
      <c r="AI11" s="16">
        <f>AJ11-AH11</f>
        <v>53.4000000000001</v>
      </c>
      <c r="AJ11" s="16">
        <v>2373.57</v>
      </c>
      <c r="AK11" s="16">
        <f>AL11-AJ11</f>
        <v>36.6599999999999</v>
      </c>
      <c r="AL11" s="16">
        <v>2410.23</v>
      </c>
      <c r="AM11" s="16">
        <f>AN11-AL11</f>
        <v>51.25</v>
      </c>
      <c r="AN11" s="16">
        <v>2461.48</v>
      </c>
      <c r="AO11" s="16">
        <f>AP11-AN11</f>
        <v>66.4499999999998</v>
      </c>
      <c r="AP11" s="16">
        <v>2527.93</v>
      </c>
      <c r="AQ11" s="16">
        <f>AR11-AP11</f>
        <v>47.4900000000002</v>
      </c>
      <c r="AR11" s="16">
        <v>2575.42</v>
      </c>
      <c r="AS11" s="16">
        <f>AT11-AR11</f>
        <v>40.75</v>
      </c>
      <c r="AT11" s="16">
        <v>2616.17</v>
      </c>
      <c r="AU11" s="21">
        <f>AV11-AT11</f>
        <v>48.8499999999999</v>
      </c>
      <c r="AV11" s="21">
        <v>2665.02</v>
      </c>
      <c r="AW11" s="27">
        <f>AX11-AV11</f>
        <v>41.5999999999999</v>
      </c>
      <c r="AX11" s="27">
        <v>2706.62</v>
      </c>
      <c r="AY11" s="27">
        <f>AZ11-AX11</f>
        <v>42.8900000000003</v>
      </c>
      <c r="AZ11" s="27">
        <v>2749.51</v>
      </c>
      <c r="BA11" s="27">
        <f>BB11-AZ11</f>
        <v>35.6099999999997</v>
      </c>
      <c r="BB11" s="27">
        <v>2785.12</v>
      </c>
      <c r="BC11" s="27">
        <f>BD11-BB11</f>
        <v>30.4900000000002</v>
      </c>
      <c r="BD11" s="27">
        <v>2815.61</v>
      </c>
      <c r="BE11" s="21">
        <f>BF11-BD11</f>
        <v>72.29</v>
      </c>
      <c r="BF11" s="27">
        <v>2887.9</v>
      </c>
      <c r="BG11" s="27">
        <f>BH11-BF11</f>
        <v>44.9899999999998</v>
      </c>
      <c r="BH11" s="27">
        <v>2932.89</v>
      </c>
      <c r="BI11" s="27">
        <f>BJ11-BH11</f>
        <v>72.2400000000002</v>
      </c>
      <c r="BJ11" s="27">
        <v>3005.13</v>
      </c>
      <c r="BK11" s="27">
        <f>BL11-BJ11</f>
        <v>54.4699999999998</v>
      </c>
      <c r="BL11" s="27">
        <v>3059.6</v>
      </c>
      <c r="BM11" s="27">
        <f>BN11-BL11</f>
        <v>16.6700000000001</v>
      </c>
      <c r="BN11" s="27">
        <v>3076.27</v>
      </c>
      <c r="BO11" s="27">
        <f>BP11-BN11</f>
        <v>64.46</v>
      </c>
      <c r="BP11" s="27">
        <v>3140.73</v>
      </c>
      <c r="BQ11" s="27">
        <f>BR11-BP11</f>
        <v>68.6700000000001</v>
      </c>
      <c r="BR11" s="27">
        <v>3209.4</v>
      </c>
      <c r="BS11" s="21" t="s">
        <v>80</v>
      </c>
      <c r="BT11" s="16">
        <v>836.87</v>
      </c>
      <c r="BU11" s="16" t="s">
        <v>81</v>
      </c>
      <c r="BV11" s="16">
        <v>748.71</v>
      </c>
      <c r="BW11" s="2">
        <v>20</v>
      </c>
      <c r="BX11" s="2">
        <v>1.1</v>
      </c>
      <c r="BY11" s="2">
        <v>106867</v>
      </c>
      <c r="BZ11" s="15">
        <f>2.6314/(BR11/BT11)</f>
        <v>0.686153087181405</v>
      </c>
      <c r="CA11" s="15">
        <f>BP11-D11</f>
        <v>1715.51</v>
      </c>
    </row>
    <row r="12" spans="1:79">
      <c r="A12" s="1" t="s">
        <v>70</v>
      </c>
      <c r="B12" s="1" t="s">
        <v>82</v>
      </c>
      <c r="C12" s="1" t="s">
        <v>78</v>
      </c>
      <c r="D12" s="1">
        <v>1446.65</v>
      </c>
      <c r="E12" s="1">
        <f>F12-D12</f>
        <v>28.1799999999998</v>
      </c>
      <c r="F12" s="1">
        <v>1474.83</v>
      </c>
      <c r="G12" s="1">
        <f>H12-F12</f>
        <v>63.8200000000002</v>
      </c>
      <c r="H12" s="1">
        <v>1538.65</v>
      </c>
      <c r="I12" s="1">
        <f>J12-H12</f>
        <v>22.9199999999998</v>
      </c>
      <c r="J12" s="1">
        <v>1561.57</v>
      </c>
      <c r="K12" s="1">
        <f>L12-J12</f>
        <v>70.8600000000001</v>
      </c>
      <c r="L12" s="1">
        <v>1632.43</v>
      </c>
      <c r="M12" s="1">
        <f>N12-L12</f>
        <v>37.4099999999999</v>
      </c>
      <c r="N12" s="1">
        <v>1669.84</v>
      </c>
      <c r="O12" s="1">
        <f>P12-N12</f>
        <v>32.8300000000002</v>
      </c>
      <c r="P12" s="1">
        <v>1702.67</v>
      </c>
      <c r="Q12" s="1">
        <f>R12-P12</f>
        <v>51.9499999999998</v>
      </c>
      <c r="R12" s="1">
        <v>1754.62</v>
      </c>
      <c r="S12" s="1">
        <f>T12-R12</f>
        <v>40.1200000000001</v>
      </c>
      <c r="T12" s="1">
        <v>1794.74</v>
      </c>
      <c r="U12" s="1">
        <f>V12-T12</f>
        <v>77.5</v>
      </c>
      <c r="V12" s="11">
        <v>1872.24</v>
      </c>
      <c r="W12" s="1">
        <f>X12-V12</f>
        <v>79.5899999999999</v>
      </c>
      <c r="X12" s="11">
        <v>1951.83</v>
      </c>
      <c r="Y12" s="1">
        <f>Z12-X12</f>
        <v>9.01999999999998</v>
      </c>
      <c r="Z12" s="1">
        <v>1960.85</v>
      </c>
      <c r="AA12" s="1">
        <f>AB12-Z12</f>
        <v>74</v>
      </c>
      <c r="AB12" s="1">
        <v>2034.85</v>
      </c>
      <c r="AC12" s="1">
        <f>AD12-AB12</f>
        <v>31.8000000000002</v>
      </c>
      <c r="AD12" s="1">
        <v>2066.65</v>
      </c>
      <c r="AE12" s="16">
        <f>AF12-AD12</f>
        <v>107.43</v>
      </c>
      <c r="AF12" s="16">
        <v>2174.08</v>
      </c>
      <c r="AG12" s="16">
        <f>AH12-AF12</f>
        <v>53.3499999999999</v>
      </c>
      <c r="AH12" s="16">
        <v>2227.43</v>
      </c>
      <c r="AI12" s="16">
        <f>AJ12-AH12</f>
        <v>50.3300000000004</v>
      </c>
      <c r="AJ12" s="16">
        <v>2277.76</v>
      </c>
      <c r="AK12" s="16">
        <f>AL12-AJ12</f>
        <v>58.7299999999996</v>
      </c>
      <c r="AL12" s="16">
        <v>2336.49</v>
      </c>
      <c r="AM12" s="16">
        <f>AN12-AL12</f>
        <v>77.9400000000001</v>
      </c>
      <c r="AN12" s="16">
        <v>2414.43</v>
      </c>
      <c r="AO12" s="16">
        <f>AP12-AN12</f>
        <v>88.73</v>
      </c>
      <c r="AP12" s="16">
        <v>2503.16</v>
      </c>
      <c r="AQ12" s="16">
        <f>AR12-AP12</f>
        <v>60.4900000000002</v>
      </c>
      <c r="AR12" s="16">
        <v>2563.65</v>
      </c>
      <c r="AS12" s="16">
        <f>AT12-AR12</f>
        <v>52.7799999999997</v>
      </c>
      <c r="AT12" s="16">
        <v>2616.43</v>
      </c>
      <c r="AU12" s="21">
        <f>AV12-AT12</f>
        <v>26.8600000000001</v>
      </c>
      <c r="AV12" s="21">
        <v>2643.29</v>
      </c>
      <c r="AW12" s="27">
        <f>AX12-AV12</f>
        <v>56.9099999999999</v>
      </c>
      <c r="AX12" s="27">
        <v>2700.2</v>
      </c>
      <c r="AY12" s="27">
        <f>AZ12-AX12</f>
        <v>78.5900000000001</v>
      </c>
      <c r="AZ12" s="27">
        <v>2778.79</v>
      </c>
      <c r="BA12" s="27">
        <f>BB12-AZ12</f>
        <v>43.0700000000002</v>
      </c>
      <c r="BB12" s="27">
        <v>2821.86</v>
      </c>
      <c r="BC12" s="27">
        <f>BD12-BB12</f>
        <v>34.5099999999998</v>
      </c>
      <c r="BD12" s="27">
        <v>2856.37</v>
      </c>
      <c r="BE12" s="21">
        <f>BF12-BD12</f>
        <v>34.5799999999999</v>
      </c>
      <c r="BF12" s="27">
        <v>2890.95</v>
      </c>
      <c r="BG12" s="27">
        <f>BH12-BF12</f>
        <v>31.1200000000003</v>
      </c>
      <c r="BH12" s="27">
        <v>2922.07</v>
      </c>
      <c r="BI12" s="27">
        <f>BJ12-BH12</f>
        <v>60.27</v>
      </c>
      <c r="BJ12" s="27">
        <v>2982.34</v>
      </c>
      <c r="BK12" s="27">
        <f>BL12-BJ12</f>
        <v>42.5599999999999</v>
      </c>
      <c r="BL12" s="27">
        <v>3024.9</v>
      </c>
      <c r="BM12" s="27">
        <f>BN12-BL12</f>
        <v>66.8499999999999</v>
      </c>
      <c r="BN12" s="27">
        <v>3091.75</v>
      </c>
      <c r="BO12" s="27">
        <f>BP12-BN12</f>
        <v>40.8899999999999</v>
      </c>
      <c r="BP12" s="27">
        <v>3132.64</v>
      </c>
      <c r="BQ12" s="27">
        <f>BR12-BP12</f>
        <v>57.7800000000002</v>
      </c>
      <c r="BR12" s="27">
        <v>3190.42</v>
      </c>
      <c r="BS12" s="21" t="s">
        <v>60</v>
      </c>
      <c r="BT12" s="16">
        <v>1289.07</v>
      </c>
      <c r="BU12" s="16" t="s">
        <v>76</v>
      </c>
      <c r="BV12" s="16">
        <v>1048.57</v>
      </c>
      <c r="BW12" s="2">
        <v>65</v>
      </c>
      <c r="BX12" s="2">
        <v>1.4</v>
      </c>
      <c r="BY12" s="2">
        <v>109333</v>
      </c>
      <c r="BZ12" s="15">
        <f>2.6314/(BR12/BT12)</f>
        <v>1.06320133336677</v>
      </c>
      <c r="CA12" s="15">
        <f>BP12-D12</f>
        <v>1685.99</v>
      </c>
    </row>
    <row r="13" spans="1:79">
      <c r="A13" s="5" t="s">
        <v>53</v>
      </c>
      <c r="B13" s="5" t="s">
        <v>83</v>
      </c>
      <c r="C13" s="5" t="s">
        <v>78</v>
      </c>
      <c r="D13" s="5">
        <v>1156.57</v>
      </c>
      <c r="E13" s="5">
        <f>F13-D13</f>
        <v>40.4400000000001</v>
      </c>
      <c r="F13" s="5">
        <v>1197.01</v>
      </c>
      <c r="G13" s="5">
        <f>H13-F13</f>
        <v>46.97</v>
      </c>
      <c r="H13" s="5">
        <v>1243.98</v>
      </c>
      <c r="I13" s="5">
        <f>J13-H13</f>
        <v>58.49</v>
      </c>
      <c r="J13" s="5">
        <v>1302.47</v>
      </c>
      <c r="K13" s="5">
        <f>L13-J13</f>
        <v>36.6399999999999</v>
      </c>
      <c r="L13" s="5">
        <v>1339.11</v>
      </c>
      <c r="M13" s="5">
        <f>N13-L13</f>
        <v>33.99</v>
      </c>
      <c r="N13" s="5">
        <v>1373.1</v>
      </c>
      <c r="O13" s="5">
        <f>P13-N13</f>
        <v>30.0600000000002</v>
      </c>
      <c r="P13" s="5">
        <v>1403.16</v>
      </c>
      <c r="Q13" s="5">
        <f>R13-P13</f>
        <v>47.3</v>
      </c>
      <c r="R13" s="5">
        <v>1450.46</v>
      </c>
      <c r="S13" s="5">
        <f>T13-R13</f>
        <v>46.8299999999999</v>
      </c>
      <c r="T13" s="5">
        <v>1497.29</v>
      </c>
      <c r="U13" s="5">
        <f>V13-T13</f>
        <v>58.6500000000001</v>
      </c>
      <c r="V13" s="12">
        <v>1555.94</v>
      </c>
      <c r="W13" s="5">
        <f>X13-V13</f>
        <v>70.3099999999999</v>
      </c>
      <c r="X13" s="12">
        <v>1626.25</v>
      </c>
      <c r="Y13" s="5">
        <f>Z13-X13</f>
        <v>31.49</v>
      </c>
      <c r="Z13" s="5">
        <v>1657.74</v>
      </c>
      <c r="AA13" s="5">
        <f>AB13-Z13</f>
        <v>59.21</v>
      </c>
      <c r="AB13" s="5">
        <v>1716.95</v>
      </c>
      <c r="AC13" s="5">
        <f>AD13-AB13</f>
        <v>31.99</v>
      </c>
      <c r="AD13" s="5">
        <v>1748.94</v>
      </c>
      <c r="AE13" s="17">
        <f>AF13-AD13</f>
        <v>52.0999999999999</v>
      </c>
      <c r="AF13" s="17">
        <v>1801.04</v>
      </c>
      <c r="AG13" s="17">
        <f>AH13-AF13</f>
        <v>74.74</v>
      </c>
      <c r="AH13" s="17">
        <v>1875.78</v>
      </c>
      <c r="AI13" s="17">
        <f>AJ13-AH13</f>
        <v>51.3700000000001</v>
      </c>
      <c r="AJ13" s="17">
        <v>1927.15</v>
      </c>
      <c r="AK13" s="17">
        <f>AL13-AJ13</f>
        <v>58.48</v>
      </c>
      <c r="AL13" s="17">
        <v>1985.63</v>
      </c>
      <c r="AM13" s="17">
        <f>AN13-AL13</f>
        <v>31.6599999999999</v>
      </c>
      <c r="AN13" s="17">
        <v>2017.29</v>
      </c>
      <c r="AO13" s="17">
        <f>AP13-AN13</f>
        <v>53.0100000000002</v>
      </c>
      <c r="AP13" s="17">
        <v>2070.3</v>
      </c>
      <c r="AQ13" s="17">
        <f>AR13-AP13</f>
        <v>52.5</v>
      </c>
      <c r="AR13" s="17">
        <v>2122.8</v>
      </c>
      <c r="AS13" s="17">
        <f>AT13-AR13</f>
        <v>65.02</v>
      </c>
      <c r="AT13" s="17">
        <v>2187.82</v>
      </c>
      <c r="AU13" s="22">
        <f>AV13-AT13</f>
        <v>39.3199999999997</v>
      </c>
      <c r="AV13" s="22">
        <v>2227.14</v>
      </c>
      <c r="AW13" s="28">
        <f>AX13-AV13</f>
        <v>65.5799999999999</v>
      </c>
      <c r="AX13" s="28">
        <v>2292.72</v>
      </c>
      <c r="AY13" s="28">
        <f>AZ13-AX13</f>
        <v>43.3800000000001</v>
      </c>
      <c r="AZ13" s="28">
        <v>2336.1</v>
      </c>
      <c r="BA13" s="28">
        <f>BB13-AZ13</f>
        <v>56.0500000000002</v>
      </c>
      <c r="BB13" s="28">
        <v>2392.15</v>
      </c>
      <c r="BC13" s="28">
        <f>BD13-BB13</f>
        <v>36.2999999999997</v>
      </c>
      <c r="BD13" s="28">
        <v>2428.45</v>
      </c>
      <c r="BE13" s="22">
        <f>BF13-BD13</f>
        <v>49.8200000000002</v>
      </c>
      <c r="BF13" s="28">
        <v>2478.27</v>
      </c>
      <c r="BG13" s="28">
        <f>BH13-BF13</f>
        <v>65.7800000000002</v>
      </c>
      <c r="BH13" s="28">
        <v>2544.05</v>
      </c>
      <c r="BI13" s="28">
        <f>BJ13-BH13</f>
        <v>16.29</v>
      </c>
      <c r="BJ13" s="28">
        <v>2560.34</v>
      </c>
      <c r="BK13" s="28">
        <f>BL13-BJ13</f>
        <v>84.4099999999999</v>
      </c>
      <c r="BL13" s="28">
        <v>2644.75</v>
      </c>
      <c r="BM13" s="28">
        <f>BN13-BL13</f>
        <v>33.6599999999999</v>
      </c>
      <c r="BN13" s="28">
        <v>2678.41</v>
      </c>
      <c r="BO13" s="28">
        <f>BP13-BN13</f>
        <v>51.1500000000001</v>
      </c>
      <c r="BP13" s="28">
        <v>2729.56</v>
      </c>
      <c r="BQ13" s="28">
        <f>BR13-BP13</f>
        <v>50.8299999999999</v>
      </c>
      <c r="BR13" s="28">
        <v>2780.39</v>
      </c>
      <c r="BS13" s="22" t="s">
        <v>84</v>
      </c>
      <c r="BT13" s="17">
        <v>789.72</v>
      </c>
      <c r="BU13" s="31" t="s">
        <v>64</v>
      </c>
      <c r="BV13" s="31">
        <v>614.12</v>
      </c>
      <c r="BW13" s="2">
        <v>25</v>
      </c>
      <c r="BX13" s="2">
        <v>3</v>
      </c>
      <c r="BY13" s="2">
        <v>100457</v>
      </c>
      <c r="BZ13" s="15">
        <f>2.6314/(BR13/BT13)</f>
        <v>0.747402057984671</v>
      </c>
      <c r="CA13" s="15">
        <f>BP13-D13</f>
        <v>1572.99</v>
      </c>
    </row>
    <row r="14" spans="1:79">
      <c r="A14" s="5" t="s">
        <v>61</v>
      </c>
      <c r="B14" s="5" t="s">
        <v>85</v>
      </c>
      <c r="C14" s="5" t="s">
        <v>78</v>
      </c>
      <c r="D14" s="5">
        <v>1349.35</v>
      </c>
      <c r="E14" s="5">
        <f>F14-D14</f>
        <v>49.6200000000001</v>
      </c>
      <c r="F14" s="5">
        <v>1398.97</v>
      </c>
      <c r="G14" s="5">
        <f>H14-F14</f>
        <v>27.79</v>
      </c>
      <c r="H14" s="5">
        <v>1426.76</v>
      </c>
      <c r="I14" s="5">
        <f>J14-H14</f>
        <v>29.02</v>
      </c>
      <c r="J14" s="5">
        <v>1455.78</v>
      </c>
      <c r="K14" s="5">
        <f>L14-J14</f>
        <v>97.8800000000001</v>
      </c>
      <c r="L14" s="5">
        <v>1553.66</v>
      </c>
      <c r="M14" s="5">
        <f>N14-L14</f>
        <v>42.3599999999999</v>
      </c>
      <c r="N14" s="5">
        <v>1596.02</v>
      </c>
      <c r="O14" s="5">
        <f>P14-N14</f>
        <v>54.22</v>
      </c>
      <c r="P14" s="5">
        <v>1650.24</v>
      </c>
      <c r="Q14" s="5">
        <f>R14-P14</f>
        <v>35.5899999999999</v>
      </c>
      <c r="R14" s="5">
        <v>1685.83</v>
      </c>
      <c r="S14" s="5">
        <f>T14-R14</f>
        <v>68.1300000000001</v>
      </c>
      <c r="T14" s="5">
        <v>1753.96</v>
      </c>
      <c r="U14" s="5">
        <f>V14-T14</f>
        <v>58.5599999999999</v>
      </c>
      <c r="V14" s="12">
        <v>1812.52</v>
      </c>
      <c r="W14" s="5">
        <f>X14-V14</f>
        <v>67.21</v>
      </c>
      <c r="X14" s="12">
        <v>1879.73</v>
      </c>
      <c r="Y14" s="5">
        <f>Z14-X14</f>
        <v>20.22</v>
      </c>
      <c r="Z14" s="5">
        <v>1899.95</v>
      </c>
      <c r="AA14" s="5">
        <f>AB14-Z14</f>
        <v>35.0999999999999</v>
      </c>
      <c r="AB14" s="5">
        <v>1935.05</v>
      </c>
      <c r="AC14" s="5">
        <f>AD14-AB14</f>
        <v>44.73</v>
      </c>
      <c r="AD14" s="5">
        <v>1979.78</v>
      </c>
      <c r="AE14" s="17">
        <f>AF14-AD14</f>
        <v>31.1700000000001</v>
      </c>
      <c r="AF14" s="17">
        <v>2010.95</v>
      </c>
      <c r="AG14" s="17">
        <f>AH14-AF14</f>
        <v>51.4100000000001</v>
      </c>
      <c r="AH14" s="17">
        <v>2062.36</v>
      </c>
      <c r="AI14" s="17">
        <f>AJ14-AH14</f>
        <v>64.9899999999998</v>
      </c>
      <c r="AJ14" s="17">
        <v>2127.35</v>
      </c>
      <c r="AK14" s="17">
        <f>AL14-AJ14</f>
        <v>21.6500000000001</v>
      </c>
      <c r="AL14" s="17">
        <v>2149</v>
      </c>
      <c r="AM14" s="17">
        <f>AN14-AL14</f>
        <v>29.3899999999999</v>
      </c>
      <c r="AN14" s="17">
        <v>2178.39</v>
      </c>
      <c r="AO14" s="17">
        <f>AP14-AN14</f>
        <v>28.6100000000001</v>
      </c>
      <c r="AP14" s="17">
        <v>2207</v>
      </c>
      <c r="AQ14" s="17">
        <f>AR14-AP14</f>
        <v>17.4099999999999</v>
      </c>
      <c r="AR14" s="17">
        <v>2224.41</v>
      </c>
      <c r="AS14" s="17">
        <f>AT14-AR14</f>
        <v>21.0700000000002</v>
      </c>
      <c r="AT14" s="17">
        <v>2245.48</v>
      </c>
      <c r="AU14" s="22">
        <f>AV14-AT14</f>
        <v>94.73</v>
      </c>
      <c r="AV14" s="22">
        <v>2340.21</v>
      </c>
      <c r="AW14" s="28">
        <f>AX14-AV14</f>
        <v>25.7199999999998</v>
      </c>
      <c r="AX14" s="28">
        <v>2365.93</v>
      </c>
      <c r="AY14" s="28">
        <f>AZ14-AX14</f>
        <v>69.3800000000001</v>
      </c>
      <c r="AZ14" s="28">
        <v>2435.31</v>
      </c>
      <c r="BA14" s="28">
        <f>BB14-AZ14</f>
        <v>48.79</v>
      </c>
      <c r="BB14" s="28">
        <v>2484.1</v>
      </c>
      <c r="BC14" s="28">
        <f>BD14-BB14</f>
        <v>4.57999999999993</v>
      </c>
      <c r="BD14" s="28">
        <v>2488.68</v>
      </c>
      <c r="BE14" s="22">
        <f>BF14-BD14</f>
        <v>42.2000000000003</v>
      </c>
      <c r="BF14" s="28">
        <v>2530.88</v>
      </c>
      <c r="BG14" s="28">
        <f>BH14-BF14</f>
        <v>24.9400000000001</v>
      </c>
      <c r="BH14" s="28">
        <v>2555.82</v>
      </c>
      <c r="BI14" s="28">
        <f>BJ14-BH14</f>
        <v>52.77</v>
      </c>
      <c r="BJ14" s="28">
        <v>2608.59</v>
      </c>
      <c r="BK14" s="28">
        <f>BL14-BJ14</f>
        <v>55.8799999999997</v>
      </c>
      <c r="BL14" s="28">
        <v>2664.47</v>
      </c>
      <c r="BM14" s="28">
        <f>BN14-BL14</f>
        <v>21.2000000000003</v>
      </c>
      <c r="BN14" s="28">
        <v>2685.67</v>
      </c>
      <c r="BO14" s="28">
        <f>BP14-BN14</f>
        <v>32.02</v>
      </c>
      <c r="BP14" s="28">
        <v>2717.69</v>
      </c>
      <c r="BQ14" s="28">
        <f>BR14-BP14</f>
        <v>24.5999999999999</v>
      </c>
      <c r="BR14" s="28">
        <v>2742.29</v>
      </c>
      <c r="BS14" s="22" t="s">
        <v>80</v>
      </c>
      <c r="BT14" s="17">
        <v>769.12</v>
      </c>
      <c r="BU14" s="31" t="s">
        <v>81</v>
      </c>
      <c r="BV14" s="31">
        <v>645.48</v>
      </c>
      <c r="BW14" s="2">
        <v>20</v>
      </c>
      <c r="BX14" s="2">
        <v>3.2</v>
      </c>
      <c r="BY14" s="2">
        <v>109106</v>
      </c>
      <c r="BZ14" s="15">
        <f>2.6314/(BR14/BT14)</f>
        <v>0.738019089155414</v>
      </c>
      <c r="CA14" s="15">
        <f>BP14-D14</f>
        <v>1368.34</v>
      </c>
    </row>
    <row r="15" spans="1:79">
      <c r="A15" s="5" t="s">
        <v>86</v>
      </c>
      <c r="B15" s="5" t="s">
        <v>87</v>
      </c>
      <c r="C15" s="5" t="s">
        <v>78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12"/>
      <c r="W15" s="5"/>
      <c r="X15" s="12"/>
      <c r="Y15" s="5"/>
      <c r="Z15" s="5"/>
      <c r="AA15" s="5"/>
      <c r="AB15" s="5"/>
      <c r="AC15" s="5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>
        <v>2239.6</v>
      </c>
      <c r="AS15" s="17">
        <f>AT15-AR15</f>
        <v>0</v>
      </c>
      <c r="AT15" s="17">
        <v>2239.6</v>
      </c>
      <c r="AU15" s="22">
        <f>AV15-AT15</f>
        <v>17.6399999999999</v>
      </c>
      <c r="AV15" s="22">
        <v>2257.24</v>
      </c>
      <c r="AW15" s="28">
        <f>AX15-AV15</f>
        <v>66.0900000000001</v>
      </c>
      <c r="AX15" s="28">
        <v>2323.33</v>
      </c>
      <c r="AY15" s="28">
        <f>AZ15-AX15</f>
        <v>15.3099999999999</v>
      </c>
      <c r="AZ15" s="28">
        <v>2338.64</v>
      </c>
      <c r="BA15" s="28">
        <f>BB15-AZ15</f>
        <v>34.4100000000003</v>
      </c>
      <c r="BB15" s="28">
        <v>2373.05</v>
      </c>
      <c r="BC15" s="28">
        <f>BD15-BB15</f>
        <v>53.6499999999996</v>
      </c>
      <c r="BD15" s="28">
        <v>2426.7</v>
      </c>
      <c r="BE15" s="22">
        <f>BF15-BD15</f>
        <v>30.3900000000003</v>
      </c>
      <c r="BF15" s="28">
        <v>2457.09</v>
      </c>
      <c r="BG15" s="28">
        <f>BH15-BF15</f>
        <v>45.9099999999999</v>
      </c>
      <c r="BH15" s="28">
        <v>2503</v>
      </c>
      <c r="BI15" s="28">
        <f>BJ15-BH15</f>
        <v>21.23</v>
      </c>
      <c r="BJ15" s="28">
        <v>2524.23</v>
      </c>
      <c r="BK15" s="28">
        <f>BL15-BJ15</f>
        <v>48.6999999999998</v>
      </c>
      <c r="BL15" s="28">
        <v>2572.93</v>
      </c>
      <c r="BM15" s="28">
        <f>BN15-BL15</f>
        <v>13.2600000000002</v>
      </c>
      <c r="BN15" s="28">
        <v>2586.19</v>
      </c>
      <c r="BO15" s="28">
        <f>BP15-BN15</f>
        <v>48.54</v>
      </c>
      <c r="BP15" s="28">
        <v>2634.73</v>
      </c>
      <c r="BQ15" s="28">
        <f>BR15-BP15</f>
        <v>12.6300000000001</v>
      </c>
      <c r="BR15" s="28">
        <v>2647.36</v>
      </c>
      <c r="BS15" s="22" t="s">
        <v>80</v>
      </c>
      <c r="BT15" s="17">
        <v>615.17</v>
      </c>
      <c r="BU15" s="31" t="s">
        <v>81</v>
      </c>
      <c r="BV15" s="31">
        <v>490.62</v>
      </c>
      <c r="BW15" s="2"/>
      <c r="BX15" s="2"/>
      <c r="BY15" s="2"/>
      <c r="BZ15" s="15">
        <f>2.6314/(BR15/BT15)</f>
        <v>0.611461356974495</v>
      </c>
      <c r="CA15" s="15">
        <f>BP15-D15</f>
        <v>2634.73</v>
      </c>
    </row>
    <row r="16" spans="1:79">
      <c r="A16" s="5" t="s">
        <v>88</v>
      </c>
      <c r="B16" s="5" t="s">
        <v>89</v>
      </c>
      <c r="C16" s="5" t="s">
        <v>78</v>
      </c>
      <c r="D16" s="5">
        <v>953.78</v>
      </c>
      <c r="E16" s="5">
        <f>F16-D16</f>
        <v>28.97</v>
      </c>
      <c r="F16" s="5">
        <v>982.75</v>
      </c>
      <c r="G16" s="5">
        <f>H16-F16</f>
        <v>83.9300000000001</v>
      </c>
      <c r="H16" s="5">
        <v>1066.68</v>
      </c>
      <c r="I16" s="5">
        <f>J16-H16</f>
        <v>42.8399999999999</v>
      </c>
      <c r="J16" s="5">
        <v>1109.52</v>
      </c>
      <c r="K16" s="5">
        <f>L16-J16</f>
        <v>36.46</v>
      </c>
      <c r="L16" s="5">
        <v>1145.98</v>
      </c>
      <c r="M16" s="5">
        <f>N16-L16</f>
        <v>37.49</v>
      </c>
      <c r="N16" s="5">
        <v>1183.47</v>
      </c>
      <c r="O16" s="5">
        <f>P16-N16</f>
        <v>33.3699999999999</v>
      </c>
      <c r="P16" s="5">
        <v>1216.84</v>
      </c>
      <c r="Q16" s="5">
        <f>R16-P16</f>
        <v>24.8900000000001</v>
      </c>
      <c r="R16" s="5">
        <v>1241.73</v>
      </c>
      <c r="S16" s="5">
        <f>T16-R16</f>
        <v>42.3099999999999</v>
      </c>
      <c r="T16" s="5">
        <v>1284.04</v>
      </c>
      <c r="U16" s="5">
        <f>V16-T16</f>
        <v>44.8400000000001</v>
      </c>
      <c r="V16" s="12">
        <v>1328.88</v>
      </c>
      <c r="W16" s="5">
        <f>X16-V16</f>
        <v>45.9499999999998</v>
      </c>
      <c r="X16" s="12">
        <v>1374.83</v>
      </c>
      <c r="Y16" s="5">
        <f>Z16-X16</f>
        <v>16.4200000000001</v>
      </c>
      <c r="Z16" s="5">
        <v>1391.25</v>
      </c>
      <c r="AA16" s="5">
        <f>AB16-Z16</f>
        <v>22.0699999999999</v>
      </c>
      <c r="AB16" s="5">
        <v>1413.32</v>
      </c>
      <c r="AC16" s="5">
        <f>AD16-AB16</f>
        <v>73.72</v>
      </c>
      <c r="AD16" s="5">
        <v>1487.04</v>
      </c>
      <c r="AE16" s="17">
        <f>AF16-AD16</f>
        <v>48.22</v>
      </c>
      <c r="AF16" s="17">
        <v>1535.26</v>
      </c>
      <c r="AG16" s="17">
        <f>AH16-AF16</f>
        <v>71.02</v>
      </c>
      <c r="AH16" s="17">
        <v>1606.28</v>
      </c>
      <c r="AI16" s="17">
        <f>AJ16-AH16</f>
        <v>28.3</v>
      </c>
      <c r="AJ16" s="17">
        <v>1634.58</v>
      </c>
      <c r="AK16" s="17">
        <f>AL16-AJ16</f>
        <v>36.1500000000001</v>
      </c>
      <c r="AL16" s="17">
        <v>1670.73</v>
      </c>
      <c r="AM16" s="17">
        <f>AN16-AL16</f>
        <v>43.6199999999999</v>
      </c>
      <c r="AN16" s="17">
        <v>1714.35</v>
      </c>
      <c r="AO16" s="17">
        <f>AP16-AN16</f>
        <v>46.1400000000001</v>
      </c>
      <c r="AP16" s="17">
        <v>1760.49</v>
      </c>
      <c r="AQ16" s="17">
        <f>AR16-AP16</f>
        <v>50.98</v>
      </c>
      <c r="AR16" s="17">
        <v>1811.47</v>
      </c>
      <c r="AS16" s="17">
        <f>AT16-AR16</f>
        <v>52.1700000000001</v>
      </c>
      <c r="AT16" s="17">
        <v>1863.64</v>
      </c>
      <c r="AU16" s="22">
        <f>AV16-AT16</f>
        <v>37.7199999999998</v>
      </c>
      <c r="AV16" s="22">
        <v>1901.36</v>
      </c>
      <c r="AW16" s="28">
        <f>AX16-AV16</f>
        <v>33.4300000000001</v>
      </c>
      <c r="AX16" s="28">
        <v>1934.79</v>
      </c>
      <c r="AY16" s="28">
        <f>AZ16-AX16</f>
        <v>20.3199999999999</v>
      </c>
      <c r="AZ16" s="28">
        <v>1955.11</v>
      </c>
      <c r="BA16" s="28">
        <f>BB16-AZ16</f>
        <v>28.1200000000001</v>
      </c>
      <c r="BB16" s="28">
        <v>1983.23</v>
      </c>
      <c r="BC16" s="28">
        <f>BD16-BB16</f>
        <v>21.6700000000001</v>
      </c>
      <c r="BD16" s="28">
        <v>2004.9</v>
      </c>
      <c r="BE16" s="22">
        <f>BF16-BD16</f>
        <v>57.4699999999998</v>
      </c>
      <c r="BF16" s="28">
        <v>2062.37</v>
      </c>
      <c r="BG16" s="28">
        <f>BH16-BF16</f>
        <v>33.2200000000003</v>
      </c>
      <c r="BH16" s="28">
        <v>2095.59</v>
      </c>
      <c r="BI16" s="28">
        <f>BJ16-BH16</f>
        <v>59.25</v>
      </c>
      <c r="BJ16" s="28">
        <v>2154.84</v>
      </c>
      <c r="BK16" s="28">
        <f>BL16-BJ16</f>
        <v>70.2599999999998</v>
      </c>
      <c r="BL16" s="28">
        <v>2225.1</v>
      </c>
      <c r="BM16" s="28">
        <f>BN16-BL16</f>
        <v>139.75</v>
      </c>
      <c r="BN16" s="28">
        <v>2364.85</v>
      </c>
      <c r="BO16" s="28">
        <f>BP16-BN16</f>
        <v>35.1900000000001</v>
      </c>
      <c r="BP16" s="28">
        <v>2400.04</v>
      </c>
      <c r="BQ16" s="28">
        <f>BR16-BP16</f>
        <v>38.2600000000002</v>
      </c>
      <c r="BR16" s="28">
        <v>2438.3</v>
      </c>
      <c r="BS16" s="22" t="s">
        <v>60</v>
      </c>
      <c r="BT16" s="17">
        <v>926.62</v>
      </c>
      <c r="BU16" s="31" t="s">
        <v>76</v>
      </c>
      <c r="BV16" s="31">
        <v>758.25</v>
      </c>
      <c r="BW16" s="2">
        <v>30</v>
      </c>
      <c r="BX16" s="2">
        <v>1</v>
      </c>
      <c r="BY16" s="2">
        <v>105419</v>
      </c>
      <c r="BZ16" s="15">
        <f>2.6314/(BR16/BT16)</f>
        <v>1.00000322683837</v>
      </c>
      <c r="CA16" s="15">
        <f>BP16-D16</f>
        <v>1446.26</v>
      </c>
    </row>
    <row r="17" spans="1:79">
      <c r="A17" s="5" t="s">
        <v>53</v>
      </c>
      <c r="B17" s="5" t="s">
        <v>90</v>
      </c>
      <c r="C17" s="5" t="s">
        <v>78</v>
      </c>
      <c r="D17" s="5">
        <v>907.94</v>
      </c>
      <c r="E17" s="5">
        <f>F17-D17</f>
        <v>64.0799999999999</v>
      </c>
      <c r="F17" s="5">
        <v>972.02</v>
      </c>
      <c r="G17" s="5">
        <f>H17-F17</f>
        <v>36.26</v>
      </c>
      <c r="H17" s="5">
        <v>1008.28</v>
      </c>
      <c r="I17" s="5">
        <f>J17-H17</f>
        <v>28.8</v>
      </c>
      <c r="J17" s="5">
        <v>1037.08</v>
      </c>
      <c r="K17" s="5">
        <f>L17-J17</f>
        <v>40.1000000000001</v>
      </c>
      <c r="L17" s="5">
        <v>1077.18</v>
      </c>
      <c r="M17" s="5">
        <f>N17-L17</f>
        <v>26.03</v>
      </c>
      <c r="N17" s="5">
        <v>1103.21</v>
      </c>
      <c r="O17" s="5">
        <f>P17-N17</f>
        <v>28.3499999999999</v>
      </c>
      <c r="P17" s="5">
        <v>1131.56</v>
      </c>
      <c r="Q17" s="5">
        <f>R17-P17</f>
        <v>50.1900000000001</v>
      </c>
      <c r="R17" s="5">
        <v>1181.75</v>
      </c>
      <c r="S17" s="5">
        <f>T17-R17</f>
        <v>26.8699999999999</v>
      </c>
      <c r="T17" s="5">
        <v>1208.62</v>
      </c>
      <c r="U17" s="5">
        <f>V17-T17</f>
        <v>58.3000000000002</v>
      </c>
      <c r="V17" s="12">
        <v>1266.92</v>
      </c>
      <c r="W17" s="5">
        <f>X17-V17</f>
        <v>41.0599999999999</v>
      </c>
      <c r="X17" s="12">
        <v>1307.98</v>
      </c>
      <c r="Y17" s="5">
        <f>Z17-X17</f>
        <v>31.49</v>
      </c>
      <c r="Z17" s="5">
        <v>1339.47</v>
      </c>
      <c r="AA17" s="5">
        <f>AB17-Z17</f>
        <v>50.5899999999999</v>
      </c>
      <c r="AB17" s="5">
        <v>1390.06</v>
      </c>
      <c r="AC17" s="5">
        <f>AD17-AB17</f>
        <v>35.8099999999999</v>
      </c>
      <c r="AD17" s="5">
        <v>1425.87</v>
      </c>
      <c r="AE17" s="17">
        <f>AF17-AD17</f>
        <v>62.6300000000001</v>
      </c>
      <c r="AF17" s="17">
        <v>1488.5</v>
      </c>
      <c r="AG17" s="17">
        <f>AH17-AF17</f>
        <v>53.9200000000001</v>
      </c>
      <c r="AH17" s="17">
        <v>1542.42</v>
      </c>
      <c r="AI17" s="17">
        <f>AJ17-AH17</f>
        <v>39.5799999999999</v>
      </c>
      <c r="AJ17" s="17">
        <v>1582</v>
      </c>
      <c r="AK17" s="17">
        <f>AL17-AJ17</f>
        <v>33.3099999999999</v>
      </c>
      <c r="AL17" s="17">
        <v>1615.31</v>
      </c>
      <c r="AM17" s="17">
        <f>AN17-AL17</f>
        <v>20.8099999999999</v>
      </c>
      <c r="AN17" s="17">
        <v>1636.12</v>
      </c>
      <c r="AO17" s="17">
        <f>AP17-AN17</f>
        <v>55.9200000000001</v>
      </c>
      <c r="AP17" s="17">
        <v>1692.04</v>
      </c>
      <c r="AQ17" s="17">
        <f>AR17-AP17</f>
        <v>16.02</v>
      </c>
      <c r="AR17" s="17">
        <v>1708.06</v>
      </c>
      <c r="AS17" s="17">
        <f>AT17-AR17</f>
        <v>34.8300000000002</v>
      </c>
      <c r="AT17" s="17">
        <v>1742.89</v>
      </c>
      <c r="AU17" s="22">
        <f>AV17-AT17</f>
        <v>57.8399999999999</v>
      </c>
      <c r="AV17" s="22">
        <v>1800.73</v>
      </c>
      <c r="AW17" s="28">
        <f>AX17-AV17</f>
        <v>59.8799999999999</v>
      </c>
      <c r="AX17" s="28">
        <v>1860.61</v>
      </c>
      <c r="AY17" s="28">
        <f>AZ17-AX17</f>
        <v>61.5600000000002</v>
      </c>
      <c r="AZ17" s="28">
        <v>1922.17</v>
      </c>
      <c r="BA17" s="28">
        <f>BB17-AZ17</f>
        <v>52.5899999999999</v>
      </c>
      <c r="BB17" s="28">
        <v>1974.76</v>
      </c>
      <c r="BC17" s="28">
        <f>BD17-BB17</f>
        <v>32.25</v>
      </c>
      <c r="BD17" s="28">
        <v>2007.01</v>
      </c>
      <c r="BE17" s="22">
        <f>BF17-BD17</f>
        <v>39.1600000000001</v>
      </c>
      <c r="BF17" s="28">
        <v>2046.17</v>
      </c>
      <c r="BG17" s="28">
        <f>BH17-BF17</f>
        <v>39.8400000000001</v>
      </c>
      <c r="BH17" s="28">
        <v>2086.01</v>
      </c>
      <c r="BI17" s="28">
        <f>BJ17-BH17</f>
        <v>21.3799999999997</v>
      </c>
      <c r="BJ17" s="28">
        <v>2107.39</v>
      </c>
      <c r="BK17" s="28">
        <f>BL17-BJ17</f>
        <v>68.5799999999999</v>
      </c>
      <c r="BL17" s="28">
        <v>2175.97</v>
      </c>
      <c r="BM17" s="28">
        <f>BN17-BL17</f>
        <v>68.1600000000003</v>
      </c>
      <c r="BN17" s="28">
        <v>2244.13</v>
      </c>
      <c r="BO17" s="28">
        <f>BP17-BN17</f>
        <v>25.4200000000001</v>
      </c>
      <c r="BP17" s="28">
        <v>2269.55</v>
      </c>
      <c r="BQ17" s="28">
        <f>BR17-BP17</f>
        <v>47.4499999999998</v>
      </c>
      <c r="BR17" s="28">
        <v>2317</v>
      </c>
      <c r="BS17" s="22" t="s">
        <v>91</v>
      </c>
      <c r="BT17" s="17">
        <v>792.42</v>
      </c>
      <c r="BU17" s="31" t="s">
        <v>92</v>
      </c>
      <c r="BV17" s="31">
        <v>628.67</v>
      </c>
      <c r="BW17" s="2">
        <v>35</v>
      </c>
      <c r="BX17" s="2">
        <v>8.2</v>
      </c>
      <c r="BY17" s="2">
        <v>65285</v>
      </c>
      <c r="BZ17" s="15">
        <f>2.6314/(BR17/BT17)</f>
        <v>0.899945614156237</v>
      </c>
      <c r="CA17" s="15">
        <f>BP17-D17</f>
        <v>1361.61</v>
      </c>
    </row>
    <row r="18" spans="1:79">
      <c r="A18" s="5" t="s">
        <v>93</v>
      </c>
      <c r="B18" s="5" t="s">
        <v>94</v>
      </c>
      <c r="C18" s="5" t="s">
        <v>95</v>
      </c>
      <c r="D18" s="5">
        <v>950.09</v>
      </c>
      <c r="E18" s="5">
        <f>F18-D18</f>
        <v>42.4</v>
      </c>
      <c r="F18" s="5">
        <v>992.49</v>
      </c>
      <c r="G18" s="5">
        <f>H18-F18</f>
        <v>38.5899999999999</v>
      </c>
      <c r="H18" s="5">
        <v>1031.08</v>
      </c>
      <c r="I18" s="5">
        <f>J18-H18</f>
        <v>22.6000000000001</v>
      </c>
      <c r="J18" s="5">
        <v>1053.68</v>
      </c>
      <c r="K18" s="5">
        <f>L18-J18</f>
        <v>10.9299999999998</v>
      </c>
      <c r="L18" s="5">
        <v>1064.61</v>
      </c>
      <c r="M18" s="5">
        <f>N18-L18</f>
        <v>16.1800000000001</v>
      </c>
      <c r="N18" s="5">
        <v>1080.79</v>
      </c>
      <c r="O18" s="5">
        <f>P18-N18</f>
        <v>13.6700000000001</v>
      </c>
      <c r="P18" s="5">
        <v>1094.46</v>
      </c>
      <c r="Q18" s="5">
        <f>R18-P18</f>
        <v>56.26</v>
      </c>
      <c r="R18" s="5">
        <v>1150.72</v>
      </c>
      <c r="S18" s="5">
        <f>T18-R18</f>
        <v>41.27</v>
      </c>
      <c r="T18" s="5">
        <v>1191.99</v>
      </c>
      <c r="U18" s="5">
        <f>V18-T18</f>
        <v>35.21</v>
      </c>
      <c r="V18" s="12">
        <v>1227.2</v>
      </c>
      <c r="W18" s="5">
        <f>X18-V18</f>
        <v>33.3599999999999</v>
      </c>
      <c r="X18" s="12">
        <v>1260.56</v>
      </c>
      <c r="Y18" s="5">
        <f>Z18-X18</f>
        <v>46.0900000000001</v>
      </c>
      <c r="Z18" s="5">
        <v>1306.65</v>
      </c>
      <c r="AA18" s="5">
        <f>AB18-Z18</f>
        <v>31.1699999999998</v>
      </c>
      <c r="AB18" s="5">
        <v>1337.82</v>
      </c>
      <c r="AC18" s="5">
        <f>AD18-AB18</f>
        <v>18.79</v>
      </c>
      <c r="AD18" s="5">
        <v>1356.61</v>
      </c>
      <c r="AE18" s="17">
        <f>AF18-AD18</f>
        <v>31.5900000000001</v>
      </c>
      <c r="AF18" s="17">
        <v>1388.2</v>
      </c>
      <c r="AG18" s="17">
        <f>AH18-AF18</f>
        <v>61.74</v>
      </c>
      <c r="AH18" s="17">
        <v>1449.94</v>
      </c>
      <c r="AI18" s="17">
        <f>AJ18-AH18</f>
        <v>22.1699999999998</v>
      </c>
      <c r="AJ18" s="17">
        <v>1472.11</v>
      </c>
      <c r="AK18" s="17">
        <f>AL18-AJ18</f>
        <v>44.0300000000002</v>
      </c>
      <c r="AL18" s="17">
        <v>1516.14</v>
      </c>
      <c r="AM18" s="17">
        <f>AN18-AL18</f>
        <v>40.25</v>
      </c>
      <c r="AN18" s="17">
        <v>1556.39</v>
      </c>
      <c r="AO18" s="17">
        <f>AP18-AN18</f>
        <v>49.1499999999999</v>
      </c>
      <c r="AP18" s="17">
        <v>1605.54</v>
      </c>
      <c r="AQ18" s="17">
        <f>AR18-AP18</f>
        <v>51.48</v>
      </c>
      <c r="AR18" s="17">
        <v>1657.02</v>
      </c>
      <c r="AS18" s="17">
        <f>AT18-AR18</f>
        <v>20.53</v>
      </c>
      <c r="AT18" s="17">
        <v>1677.55</v>
      </c>
      <c r="AU18" s="22">
        <f>AV18-AT18</f>
        <v>42.72</v>
      </c>
      <c r="AV18" s="22">
        <v>1720.27</v>
      </c>
      <c r="AW18" s="28">
        <f>AX18-AV18</f>
        <v>26.77</v>
      </c>
      <c r="AX18" s="28">
        <v>1747.04</v>
      </c>
      <c r="AY18" s="28">
        <f>AZ18-AX18</f>
        <v>25</v>
      </c>
      <c r="AZ18" s="28">
        <v>1772.04</v>
      </c>
      <c r="BA18" s="28">
        <f>BB18-AZ18</f>
        <v>65.03</v>
      </c>
      <c r="BB18" s="28">
        <v>1837.07</v>
      </c>
      <c r="BC18" s="28">
        <f>BD18-BB18</f>
        <v>23.6700000000001</v>
      </c>
      <c r="BD18" s="28">
        <v>1860.74</v>
      </c>
      <c r="BE18" s="22">
        <f>BF18-BD18</f>
        <v>29.48</v>
      </c>
      <c r="BF18" s="28">
        <v>1890.22</v>
      </c>
      <c r="BG18" s="28">
        <f>BH18-BF18</f>
        <v>72.71</v>
      </c>
      <c r="BH18" s="28">
        <v>1962.93</v>
      </c>
      <c r="BI18" s="28">
        <f>BJ18-BH18</f>
        <v>22.8799999999999</v>
      </c>
      <c r="BJ18" s="28">
        <v>1985.81</v>
      </c>
      <c r="BK18" s="28">
        <f>BL18-BJ18</f>
        <v>56.8400000000001</v>
      </c>
      <c r="BL18" s="28">
        <v>2042.65</v>
      </c>
      <c r="BM18" s="28">
        <f>BN18-BL18</f>
        <v>27.0499999999997</v>
      </c>
      <c r="BN18" s="28">
        <v>2069.7</v>
      </c>
      <c r="BO18" s="28">
        <f>BP18-BN18</f>
        <v>23.5800000000004</v>
      </c>
      <c r="BP18" s="28">
        <v>2093.28</v>
      </c>
      <c r="BQ18" s="28">
        <f>BR18-BP18</f>
        <v>22.7599999999998</v>
      </c>
      <c r="BR18" s="28">
        <v>2116.04</v>
      </c>
      <c r="BS18" s="22" t="s">
        <v>96</v>
      </c>
      <c r="BT18" s="17">
        <v>741.86</v>
      </c>
      <c r="BU18" s="31" t="s">
        <v>97</v>
      </c>
      <c r="BV18" s="31">
        <v>704.28</v>
      </c>
      <c r="BW18" s="8">
        <v>10</v>
      </c>
      <c r="BX18" s="8">
        <v>2.2</v>
      </c>
      <c r="BY18" s="8">
        <v>86194</v>
      </c>
      <c r="BZ18" s="15">
        <f>2.6314/(BR18/BT18)</f>
        <v>0.922539462392015</v>
      </c>
      <c r="CA18" s="15">
        <f>BP18-D18</f>
        <v>1143.19</v>
      </c>
    </row>
    <row r="19" spans="1:79">
      <c r="A19" s="5" t="s">
        <v>61</v>
      </c>
      <c r="B19" s="5" t="s">
        <v>98</v>
      </c>
      <c r="C19" s="5" t="s">
        <v>78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12"/>
      <c r="W19" s="5"/>
      <c r="X19" s="12"/>
      <c r="Y19" s="5"/>
      <c r="Z19" s="5"/>
      <c r="AA19" s="5"/>
      <c r="AB19" s="5"/>
      <c r="AC19" s="5"/>
      <c r="AD19" s="5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>
        <v>1644.57</v>
      </c>
      <c r="AS19" s="17">
        <f>AT19-AR19</f>
        <v>0</v>
      </c>
      <c r="AT19" s="17">
        <v>1644.57</v>
      </c>
      <c r="AU19" s="22">
        <f>AV19-AT19</f>
        <v>31.0700000000002</v>
      </c>
      <c r="AV19" s="22">
        <v>1675.64</v>
      </c>
      <c r="AW19" s="28">
        <f>AX19-AV19</f>
        <v>13.9599999999998</v>
      </c>
      <c r="AX19" s="28">
        <v>1689.6</v>
      </c>
      <c r="AY19" s="28">
        <f>AZ19-AX19</f>
        <v>44.99</v>
      </c>
      <c r="AZ19" s="28">
        <v>1734.59</v>
      </c>
      <c r="BA19" s="28">
        <f>BB19-AZ19</f>
        <v>31.1600000000001</v>
      </c>
      <c r="BB19" s="28">
        <v>1765.75</v>
      </c>
      <c r="BC19" s="28">
        <f>BD19-BB19</f>
        <v>39.9200000000001</v>
      </c>
      <c r="BD19" s="28">
        <v>1805.67</v>
      </c>
      <c r="BE19" s="22">
        <f>BF19-BD19</f>
        <v>42.21</v>
      </c>
      <c r="BF19" s="28">
        <v>1847.88</v>
      </c>
      <c r="BG19" s="28">
        <f>BH19-BF19</f>
        <v>86</v>
      </c>
      <c r="BH19" s="28">
        <v>1933.88</v>
      </c>
      <c r="BI19" s="28">
        <f>BJ19-BH19</f>
        <v>21.8499999999999</v>
      </c>
      <c r="BJ19" s="28">
        <v>1955.73</v>
      </c>
      <c r="BK19" s="28">
        <f>BL19-BJ19</f>
        <v>26.3099999999999</v>
      </c>
      <c r="BL19" s="28">
        <v>1982.04</v>
      </c>
      <c r="BM19" s="28">
        <f>BN19-BL19</f>
        <v>26.51</v>
      </c>
      <c r="BN19" s="28">
        <v>2008.55</v>
      </c>
      <c r="BO19" s="28">
        <f>BP19-BN19</f>
        <v>20.71</v>
      </c>
      <c r="BP19" s="28">
        <v>2029.26</v>
      </c>
      <c r="BQ19" s="28">
        <f>BR19-BP19</f>
        <v>63.0800000000002</v>
      </c>
      <c r="BR19" s="28">
        <v>2092.34</v>
      </c>
      <c r="BS19" s="22" t="s">
        <v>80</v>
      </c>
      <c r="BT19" s="17">
        <v>408.01</v>
      </c>
      <c r="BU19" s="31" t="s">
        <v>81</v>
      </c>
      <c r="BV19" s="31">
        <v>367.24</v>
      </c>
      <c r="BW19" s="8"/>
      <c r="BX19" s="8"/>
      <c r="BY19" s="8"/>
      <c r="BZ19" s="15">
        <f>2.6314/(BR19/BT19)</f>
        <v>0.513127653249472</v>
      </c>
      <c r="CA19" s="15">
        <f>BP19-D19</f>
        <v>2029.26</v>
      </c>
    </row>
    <row r="20" spans="1:79">
      <c r="A20" s="8" t="s">
        <v>88</v>
      </c>
      <c r="B20" s="8" t="s">
        <v>99</v>
      </c>
      <c r="C20" s="8" t="s">
        <v>100</v>
      </c>
      <c r="D20" s="8">
        <v>927.15</v>
      </c>
      <c r="E20" s="8">
        <f>F20-D20</f>
        <v>17.9300000000001</v>
      </c>
      <c r="F20" s="8">
        <v>945.08</v>
      </c>
      <c r="G20" s="8">
        <f>H20-F20</f>
        <v>24.04</v>
      </c>
      <c r="H20" s="8">
        <v>969.12</v>
      </c>
      <c r="I20" s="8">
        <f>J20-H20</f>
        <v>26.96</v>
      </c>
      <c r="J20" s="8">
        <v>996.08</v>
      </c>
      <c r="K20" s="8">
        <f>L20-J20</f>
        <v>23.3499999999999</v>
      </c>
      <c r="L20" s="8">
        <v>1019.43</v>
      </c>
      <c r="M20" s="8">
        <f>N20-L20</f>
        <v>23.7400000000001</v>
      </c>
      <c r="N20" s="8">
        <v>1043.17</v>
      </c>
      <c r="O20" s="8">
        <f>P20-N20</f>
        <v>24.99</v>
      </c>
      <c r="P20" s="8">
        <v>1068.16</v>
      </c>
      <c r="Q20" s="8">
        <f>R20-P20</f>
        <v>25.3499999999999</v>
      </c>
      <c r="R20" s="8">
        <v>1093.51</v>
      </c>
      <c r="S20" s="8">
        <f>T20-R20</f>
        <v>46.8499999999999</v>
      </c>
      <c r="T20" s="8">
        <v>1140.36</v>
      </c>
      <c r="U20" s="8">
        <f>V20-T20</f>
        <v>28.76</v>
      </c>
      <c r="V20" s="13">
        <v>1169.12</v>
      </c>
      <c r="W20" s="8">
        <f>X20-V20</f>
        <v>32.7600000000002</v>
      </c>
      <c r="X20" s="13">
        <v>1201.88</v>
      </c>
      <c r="Y20" s="8">
        <f>Z20-X20</f>
        <v>24.9599999999998</v>
      </c>
      <c r="Z20" s="8">
        <v>1226.84</v>
      </c>
      <c r="AA20" s="8">
        <f>AB20-Z20</f>
        <v>27.6900000000001</v>
      </c>
      <c r="AB20" s="8">
        <v>1254.53</v>
      </c>
      <c r="AC20" s="8">
        <f>AD20-AB20</f>
        <v>18.8900000000001</v>
      </c>
      <c r="AD20" s="8">
        <v>1273.42</v>
      </c>
      <c r="AE20" s="18">
        <f>AF20-AD20</f>
        <v>34.0999999999999</v>
      </c>
      <c r="AF20" s="18">
        <v>1307.52</v>
      </c>
      <c r="AG20" s="18">
        <f>AH20-AF20</f>
        <v>40.6600000000001</v>
      </c>
      <c r="AH20" s="18">
        <v>1348.18</v>
      </c>
      <c r="AI20" s="18">
        <f>AJ20-AH20</f>
        <v>31.0699999999999</v>
      </c>
      <c r="AJ20" s="18">
        <v>1379.25</v>
      </c>
      <c r="AK20" s="18">
        <f>AL20-AJ20</f>
        <v>30.6700000000001</v>
      </c>
      <c r="AL20" s="18">
        <v>1409.92</v>
      </c>
      <c r="AM20" s="18">
        <f>AN20-AL20</f>
        <v>17.21</v>
      </c>
      <c r="AN20" s="18">
        <v>1427.13</v>
      </c>
      <c r="AO20" s="18">
        <f>AP20-AN20</f>
        <v>20.4799999999998</v>
      </c>
      <c r="AP20" s="18">
        <v>1447.61</v>
      </c>
      <c r="AQ20" s="18">
        <f>AR20-AP20</f>
        <v>23.5400000000002</v>
      </c>
      <c r="AR20" s="18">
        <v>1471.15</v>
      </c>
      <c r="AS20" s="18">
        <f>AT20-AR20</f>
        <v>24.76</v>
      </c>
      <c r="AT20" s="18">
        <v>1495.91</v>
      </c>
      <c r="AU20" s="23">
        <f>AV20-AT20</f>
        <v>24.6599999999999</v>
      </c>
      <c r="AV20" s="23">
        <v>1520.57</v>
      </c>
      <c r="AW20" s="24">
        <f>AX20-AV20</f>
        <v>53.1500000000001</v>
      </c>
      <c r="AX20" s="24">
        <v>1573.72</v>
      </c>
      <c r="AY20" s="24">
        <f>AZ20-AX20</f>
        <v>18.8</v>
      </c>
      <c r="AZ20" s="24">
        <v>1592.52</v>
      </c>
      <c r="BA20" s="24">
        <f>BB20-AZ20</f>
        <v>44.6200000000001</v>
      </c>
      <c r="BB20" s="24">
        <v>1637.14</v>
      </c>
      <c r="BC20" s="24">
        <f>BD20-BB20</f>
        <v>13.6199999999999</v>
      </c>
      <c r="BD20" s="24">
        <v>1650.76</v>
      </c>
      <c r="BE20" s="23">
        <f>BF20-BD20</f>
        <v>25.55</v>
      </c>
      <c r="BF20" s="24">
        <v>1676.31</v>
      </c>
      <c r="BG20" s="24">
        <f>BH20-BF20</f>
        <v>80.8099999999999</v>
      </c>
      <c r="BH20" s="24">
        <v>1757.12</v>
      </c>
      <c r="BI20" s="24">
        <f>BJ20-BH20</f>
        <v>28.3500000000001</v>
      </c>
      <c r="BJ20" s="24">
        <v>1785.47</v>
      </c>
      <c r="BK20" s="24">
        <f>BL20-BJ20</f>
        <v>40.04</v>
      </c>
      <c r="BL20" s="24">
        <v>1825.51</v>
      </c>
      <c r="BM20" s="24">
        <f>BN20-BL20</f>
        <v>18</v>
      </c>
      <c r="BN20" s="24">
        <v>1843.51</v>
      </c>
      <c r="BO20" s="24">
        <f>BP20-BN20</f>
        <v>25.6200000000001</v>
      </c>
      <c r="BP20" s="24">
        <v>1869.13</v>
      </c>
      <c r="BQ20" s="24">
        <f>BR20-BP20</f>
        <v>20.27</v>
      </c>
      <c r="BR20" s="24">
        <v>1889.4</v>
      </c>
      <c r="BS20" s="23" t="s">
        <v>81</v>
      </c>
      <c r="BT20" s="18">
        <v>450.41</v>
      </c>
      <c r="BU20" s="18" t="s">
        <v>80</v>
      </c>
      <c r="BV20" s="18">
        <v>438.91</v>
      </c>
      <c r="BW20" s="8">
        <v>10</v>
      </c>
      <c r="BX20" s="8">
        <v>1.1</v>
      </c>
      <c r="BY20" s="8">
        <v>80664</v>
      </c>
      <c r="BZ20" s="15">
        <f>2.6314/(BR20/BT20)</f>
        <v>0.627293783211602</v>
      </c>
      <c r="CA20" s="15">
        <f>BP20-D20</f>
        <v>941.98</v>
      </c>
    </row>
    <row r="21" spans="1:79">
      <c r="A21" s="8" t="s">
        <v>93</v>
      </c>
      <c r="B21" s="8" t="s">
        <v>101</v>
      </c>
      <c r="C21" s="8" t="s">
        <v>100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18">
        <v>1444.24</v>
      </c>
      <c r="AS21" s="18">
        <f>AT21-AR21</f>
        <v>0</v>
      </c>
      <c r="AT21" s="18">
        <v>1444.24</v>
      </c>
      <c r="AU21" s="23">
        <f>AV21-AT21</f>
        <v>35.5599999999999</v>
      </c>
      <c r="AV21" s="24">
        <v>1479.8</v>
      </c>
      <c r="AW21" s="24">
        <f>AX21-AV21</f>
        <v>30.3700000000001</v>
      </c>
      <c r="AX21" s="24">
        <v>1510.17</v>
      </c>
      <c r="AY21" s="24">
        <f>AZ21-AX21</f>
        <v>21.47</v>
      </c>
      <c r="AZ21" s="24">
        <v>1531.64</v>
      </c>
      <c r="BA21" s="24">
        <f>BB21-AZ21</f>
        <v>41.3899999999999</v>
      </c>
      <c r="BB21" s="24">
        <v>1573.03</v>
      </c>
      <c r="BC21" s="24">
        <f>BD21-BB21</f>
        <v>24.21</v>
      </c>
      <c r="BD21" s="24">
        <v>1597.24</v>
      </c>
      <c r="BE21" s="23">
        <f>BF21-BD21</f>
        <v>19.22</v>
      </c>
      <c r="BF21" s="24">
        <v>1616.46</v>
      </c>
      <c r="BG21" s="24">
        <f>BH21-BF21</f>
        <v>35.5599999999999</v>
      </c>
      <c r="BH21" s="24">
        <v>1652.02</v>
      </c>
      <c r="BI21" s="24">
        <f>BJ21-BH21</f>
        <v>47.72</v>
      </c>
      <c r="BJ21" s="24">
        <v>1699.74</v>
      </c>
      <c r="BK21" s="24">
        <f>BL21-BJ21</f>
        <v>34.0999999999999</v>
      </c>
      <c r="BL21" s="24">
        <v>1733.84</v>
      </c>
      <c r="BM21" s="24">
        <f>BN21-BL21</f>
        <v>41.5800000000002</v>
      </c>
      <c r="BN21" s="24">
        <v>1775.42</v>
      </c>
      <c r="BO21" s="24">
        <f>BP21-BN21</f>
        <v>41.6799999999998</v>
      </c>
      <c r="BP21" s="24">
        <v>1817.1</v>
      </c>
      <c r="BQ21" s="24">
        <f>BR21-BP21</f>
        <v>28.2900000000002</v>
      </c>
      <c r="BR21" s="24">
        <v>1845.39</v>
      </c>
      <c r="BS21" s="23" t="s">
        <v>91</v>
      </c>
      <c r="BT21" s="18">
        <v>335.01</v>
      </c>
      <c r="BU21" s="18" t="s">
        <v>81</v>
      </c>
      <c r="BV21" s="18">
        <v>303.44</v>
      </c>
      <c r="BW21" s="8"/>
      <c r="BX21" s="8"/>
      <c r="BY21" s="8"/>
      <c r="BZ21" s="15">
        <f>2.6314/(BR21/BT21)</f>
        <v>0.477701360687985</v>
      </c>
      <c r="CA21" s="15">
        <f>BP21-D21</f>
        <v>1817.1</v>
      </c>
    </row>
    <row r="22" spans="1:79">
      <c r="A22" s="8" t="s">
        <v>61</v>
      </c>
      <c r="B22" s="8" t="s">
        <v>102</v>
      </c>
      <c r="C22" s="8" t="s">
        <v>95</v>
      </c>
      <c r="D22" s="8">
        <v>848.93</v>
      </c>
      <c r="E22" s="8">
        <f>F22-D22</f>
        <v>34.5600000000001</v>
      </c>
      <c r="F22" s="8">
        <v>883.49</v>
      </c>
      <c r="G22" s="8">
        <f>H22-F22</f>
        <v>46.08</v>
      </c>
      <c r="H22" s="8">
        <v>929.57</v>
      </c>
      <c r="I22" s="8">
        <f>J22-H22</f>
        <v>27.7399999999999</v>
      </c>
      <c r="J22" s="8">
        <v>957.31</v>
      </c>
      <c r="K22" s="8">
        <f>L22-J22</f>
        <v>47.36</v>
      </c>
      <c r="L22" s="8">
        <v>1004.67</v>
      </c>
      <c r="M22" s="8">
        <f>N22-L22</f>
        <v>25.9399999999999</v>
      </c>
      <c r="N22" s="8">
        <v>1030.61</v>
      </c>
      <c r="O22" s="8">
        <f>P22-N22</f>
        <v>37.71</v>
      </c>
      <c r="P22" s="8">
        <v>1068.32</v>
      </c>
      <c r="Q22" s="8">
        <f>R22-P22</f>
        <v>18.3800000000001</v>
      </c>
      <c r="R22" s="8">
        <v>1086.7</v>
      </c>
      <c r="S22" s="8">
        <f>T22-R22</f>
        <v>21.04</v>
      </c>
      <c r="T22" s="8">
        <v>1107.74</v>
      </c>
      <c r="U22" s="8">
        <f>V22-T22</f>
        <v>32.7</v>
      </c>
      <c r="V22" s="13">
        <v>1140.44</v>
      </c>
      <c r="W22" s="8">
        <f>X22-V22</f>
        <v>26.9299999999998</v>
      </c>
      <c r="X22" s="13">
        <v>1167.37</v>
      </c>
      <c r="Y22" s="8">
        <f>Z22-X22</f>
        <v>37.0300000000002</v>
      </c>
      <c r="Z22" s="8">
        <v>1204.4</v>
      </c>
      <c r="AA22" s="8">
        <f>AB22-Z22</f>
        <v>33.6199999999999</v>
      </c>
      <c r="AB22" s="8">
        <v>1238.02</v>
      </c>
      <c r="AC22" s="8">
        <f>AD22-AB22</f>
        <v>53.73</v>
      </c>
      <c r="AD22" s="8">
        <v>1291.75</v>
      </c>
      <c r="AE22" s="18">
        <f>AF22-AD22</f>
        <v>23.99</v>
      </c>
      <c r="AF22" s="18">
        <v>1315.74</v>
      </c>
      <c r="AG22" s="18">
        <f>AH22-AF22</f>
        <v>29.53</v>
      </c>
      <c r="AH22" s="18">
        <v>1345.27</v>
      </c>
      <c r="AI22" s="18">
        <f>AJ22-AH22</f>
        <v>26.6100000000001</v>
      </c>
      <c r="AJ22" s="18">
        <v>1371.88</v>
      </c>
      <c r="AK22" s="18">
        <f>AL22-AJ22</f>
        <v>40.3999999999999</v>
      </c>
      <c r="AL22" s="18">
        <v>1412.28</v>
      </c>
      <c r="AM22" s="18">
        <f>AN22-AL22</f>
        <v>19.74</v>
      </c>
      <c r="AN22" s="18">
        <v>1432.02</v>
      </c>
      <c r="AO22" s="18">
        <f>AP22-AN22</f>
        <v>53.23</v>
      </c>
      <c r="AP22" s="18">
        <v>1485.25</v>
      </c>
      <c r="AQ22" s="18">
        <f>AR22-AP22</f>
        <v>21.1800000000001</v>
      </c>
      <c r="AR22" s="18">
        <v>1506.43</v>
      </c>
      <c r="AS22" s="18">
        <f>AT22-AR22</f>
        <v>17.1199999999999</v>
      </c>
      <c r="AT22" s="18">
        <v>1523.55</v>
      </c>
      <c r="AU22" s="23">
        <f>AV22-AT22</f>
        <v>52.4000000000001</v>
      </c>
      <c r="AV22" s="23">
        <v>1575.95</v>
      </c>
      <c r="AW22" s="24">
        <f>AX22-AV22</f>
        <v>22.8</v>
      </c>
      <c r="AX22" s="24">
        <v>1598.75</v>
      </c>
      <c r="AY22" s="24">
        <f>AZ22-AX22</f>
        <v>41.49</v>
      </c>
      <c r="AZ22" s="24">
        <v>1640.24</v>
      </c>
      <c r="BA22" s="24">
        <f>BB22-AZ22</f>
        <v>17.73</v>
      </c>
      <c r="BB22" s="24">
        <v>1657.97</v>
      </c>
      <c r="BC22" s="24">
        <f>BD22-BB22</f>
        <v>17.8899999999999</v>
      </c>
      <c r="BD22" s="24">
        <v>1675.86</v>
      </c>
      <c r="BE22" s="23">
        <f>BF22-BD22</f>
        <v>36.3500000000001</v>
      </c>
      <c r="BF22" s="24">
        <v>1712.21</v>
      </c>
      <c r="BG22" s="24">
        <f>BH22-BF22</f>
        <v>39.54</v>
      </c>
      <c r="BH22" s="24">
        <v>1751.75</v>
      </c>
      <c r="BI22" s="24">
        <f>BJ22-BH22</f>
        <v>13.1800000000001</v>
      </c>
      <c r="BJ22" s="24">
        <v>1764.93</v>
      </c>
      <c r="BK22" s="24">
        <f>BL22-BJ22</f>
        <v>13.76</v>
      </c>
      <c r="BL22" s="24">
        <v>1778.69</v>
      </c>
      <c r="BM22" s="24">
        <f>BN22-BL22</f>
        <v>13.1299999999999</v>
      </c>
      <c r="BN22" s="24">
        <v>1791.82</v>
      </c>
      <c r="BO22" s="24">
        <f>BP22-BN22</f>
        <v>24.24</v>
      </c>
      <c r="BP22" s="24">
        <v>1816.06</v>
      </c>
      <c r="BQ22" s="24">
        <f>BR22-BP22</f>
        <v>16.3</v>
      </c>
      <c r="BR22" s="24">
        <v>1832.36</v>
      </c>
      <c r="BS22" s="23" t="s">
        <v>60</v>
      </c>
      <c r="BT22" s="18">
        <v>725.32</v>
      </c>
      <c r="BU22" s="18" t="s">
        <v>76</v>
      </c>
      <c r="BV22" s="18">
        <v>556.77</v>
      </c>
      <c r="BW22" s="8">
        <v>30</v>
      </c>
      <c r="BX22" s="8">
        <v>3.2</v>
      </c>
      <c r="BY22" s="8">
        <v>78989</v>
      </c>
      <c r="BZ22" s="15">
        <f>2.6314/(BR22/BT22)</f>
        <v>1.04161139077474</v>
      </c>
      <c r="CA22" s="15">
        <f>BP22-D22</f>
        <v>967.13</v>
      </c>
    </row>
    <row r="23" spans="1:79">
      <c r="A23" s="8" t="s">
        <v>93</v>
      </c>
      <c r="B23" s="8" t="s">
        <v>103</v>
      </c>
      <c r="C23" s="8" t="s">
        <v>78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18">
        <v>1429.42</v>
      </c>
      <c r="AS23" s="18">
        <f>AT23-AR23</f>
        <v>0</v>
      </c>
      <c r="AT23" s="18">
        <v>1429.42</v>
      </c>
      <c r="AU23" s="23">
        <f>AV23-AT23</f>
        <v>22.4199999999998</v>
      </c>
      <c r="AV23" s="23">
        <v>1451.84</v>
      </c>
      <c r="AW23" s="24">
        <f>AX23-AV23</f>
        <v>24.0600000000002</v>
      </c>
      <c r="AX23" s="24">
        <v>1475.9</v>
      </c>
      <c r="AY23" s="24">
        <f>AZ23-AX23</f>
        <v>41.01</v>
      </c>
      <c r="AZ23" s="24">
        <v>1516.91</v>
      </c>
      <c r="BA23" s="24">
        <f>BB23-AZ23</f>
        <v>25.5999999999999</v>
      </c>
      <c r="BB23" s="24">
        <v>1542.51</v>
      </c>
      <c r="BC23" s="24">
        <f>BD23-BB23</f>
        <v>35.6800000000001</v>
      </c>
      <c r="BD23" s="24">
        <v>1578.19</v>
      </c>
      <c r="BE23" s="23">
        <f>BF23-BD23</f>
        <v>-0.230000000000018</v>
      </c>
      <c r="BF23" s="24">
        <v>1577.96</v>
      </c>
      <c r="BG23" s="24">
        <f>BH23-BF23</f>
        <v>57.1099999999999</v>
      </c>
      <c r="BH23" s="24">
        <v>1635.07</v>
      </c>
      <c r="BI23" s="24">
        <f>BJ23-BH23</f>
        <v>51.1700000000001</v>
      </c>
      <c r="BJ23" s="24">
        <v>1686.24</v>
      </c>
      <c r="BK23" s="24">
        <f>BL23-BJ23</f>
        <v>29.0699999999999</v>
      </c>
      <c r="BL23" s="24">
        <v>1715.31</v>
      </c>
      <c r="BM23" s="24">
        <f>BN23-BL23</f>
        <v>22.1300000000001</v>
      </c>
      <c r="BN23" s="24">
        <v>1737.44</v>
      </c>
      <c r="BO23" s="24">
        <f>BP23-BN23</f>
        <v>39.3399999999999</v>
      </c>
      <c r="BP23" s="24">
        <v>1776.78</v>
      </c>
      <c r="BQ23" s="24">
        <f>BR23-BP23</f>
        <v>40.3900000000001</v>
      </c>
      <c r="BR23" s="24">
        <v>1817.17</v>
      </c>
      <c r="BS23" s="23" t="s">
        <v>96</v>
      </c>
      <c r="BT23" s="18">
        <v>343.77</v>
      </c>
      <c r="BU23" s="18" t="s">
        <v>97</v>
      </c>
      <c r="BV23" s="18">
        <v>304.12</v>
      </c>
      <c r="BW23" s="8"/>
      <c r="BX23" s="8"/>
      <c r="BY23" s="8"/>
      <c r="BZ23" s="15">
        <f>2.6314/(BR23/BT23)</f>
        <v>0.497805036402758</v>
      </c>
      <c r="CA23" s="15">
        <f>BP23-D23</f>
        <v>1776.78</v>
      </c>
    </row>
    <row r="24" spans="1:79">
      <c r="A24" s="8" t="s">
        <v>53</v>
      </c>
      <c r="B24" s="8" t="s">
        <v>104</v>
      </c>
      <c r="C24" s="8" t="s">
        <v>100</v>
      </c>
      <c r="D24" s="8">
        <v>363.88</v>
      </c>
      <c r="E24" s="8">
        <f>F24-D24</f>
        <v>14.21</v>
      </c>
      <c r="F24" s="8">
        <v>378.09</v>
      </c>
      <c r="G24" s="8">
        <f>H24-F24</f>
        <v>11.22</v>
      </c>
      <c r="H24" s="8">
        <v>389.31</v>
      </c>
      <c r="I24" s="8">
        <f>J24-H24</f>
        <v>13.62</v>
      </c>
      <c r="J24" s="8">
        <v>402.93</v>
      </c>
      <c r="K24" s="8">
        <f>L24-J24</f>
        <v>11.13</v>
      </c>
      <c r="L24" s="8">
        <v>414.06</v>
      </c>
      <c r="M24" s="8">
        <f>N24-L24</f>
        <v>17.39</v>
      </c>
      <c r="N24" s="8">
        <v>431.45</v>
      </c>
      <c r="O24" s="8">
        <f>P24-N24</f>
        <v>6.32999999999998</v>
      </c>
      <c r="P24" s="8">
        <v>437.78</v>
      </c>
      <c r="Q24" s="8">
        <f>R24-P24</f>
        <v>53.01</v>
      </c>
      <c r="R24" s="8">
        <v>490.79</v>
      </c>
      <c r="S24" s="8">
        <f>T24-R24</f>
        <v>11.82</v>
      </c>
      <c r="T24" s="8">
        <v>502.61</v>
      </c>
      <c r="U24" s="8">
        <f>V24-T24</f>
        <v>19.3099999999999</v>
      </c>
      <c r="V24" s="13">
        <v>521.92</v>
      </c>
      <c r="W24" s="8">
        <f>X24-V24</f>
        <v>29.5400000000001</v>
      </c>
      <c r="X24" s="13">
        <v>551.46</v>
      </c>
      <c r="Y24" s="8">
        <f>Z24-X24</f>
        <v>36.98</v>
      </c>
      <c r="Z24" s="8">
        <v>588.44</v>
      </c>
      <c r="AA24" s="8">
        <f>AB24-Z24</f>
        <v>21.17</v>
      </c>
      <c r="AB24" s="8">
        <v>609.61</v>
      </c>
      <c r="AC24" s="8">
        <f>AD24-AB24</f>
        <v>17.4399999999999</v>
      </c>
      <c r="AD24" s="8">
        <v>627.05</v>
      </c>
      <c r="AE24" s="18">
        <f>AF24-AD24</f>
        <v>21.0500000000001</v>
      </c>
      <c r="AF24" s="18">
        <v>648.1</v>
      </c>
      <c r="AG24" s="18">
        <f>AH24-AF24</f>
        <v>37.27</v>
      </c>
      <c r="AH24" s="18">
        <v>685.37</v>
      </c>
      <c r="AI24" s="18">
        <f>AJ24-AH24</f>
        <v>25.0700000000001</v>
      </c>
      <c r="AJ24" s="18">
        <v>710.44</v>
      </c>
      <c r="AK24" s="18">
        <f>AL24-AJ24</f>
        <v>22.64</v>
      </c>
      <c r="AL24" s="18">
        <v>733.08</v>
      </c>
      <c r="AM24" s="18">
        <f>AN24-AL24</f>
        <v>28.76</v>
      </c>
      <c r="AN24" s="18">
        <v>761.84</v>
      </c>
      <c r="AO24" s="18">
        <f>AP24-AN24</f>
        <v>12.24</v>
      </c>
      <c r="AP24" s="18">
        <v>774.08</v>
      </c>
      <c r="AQ24" s="18">
        <f>AR24-AP24</f>
        <v>29.39</v>
      </c>
      <c r="AR24" s="18">
        <v>803.47</v>
      </c>
      <c r="AS24" s="18">
        <f>AT24-AR24</f>
        <v>33.97</v>
      </c>
      <c r="AT24" s="18">
        <v>837.44</v>
      </c>
      <c r="AU24" s="23">
        <f>AV24-AT24</f>
        <v>29.6999999999999</v>
      </c>
      <c r="AV24" s="23">
        <v>867.14</v>
      </c>
      <c r="AW24" s="24">
        <f>AX24-AV24</f>
        <v>21.75</v>
      </c>
      <c r="AX24" s="24">
        <v>888.89</v>
      </c>
      <c r="AY24" s="24">
        <f>AZ24-AX24</f>
        <v>37.0600000000001</v>
      </c>
      <c r="AZ24" s="24">
        <v>925.95</v>
      </c>
      <c r="BA24" s="24">
        <f>BB24-AZ24</f>
        <v>14.3</v>
      </c>
      <c r="BB24" s="24">
        <v>940.25</v>
      </c>
      <c r="BC24" s="24">
        <f>BD24-BB24</f>
        <v>12.04</v>
      </c>
      <c r="BD24" s="24">
        <v>952.29</v>
      </c>
      <c r="BE24" s="23">
        <f>BF24-BD24</f>
        <v>39.5300000000001</v>
      </c>
      <c r="BF24" s="24">
        <v>991.82</v>
      </c>
      <c r="BG24" s="24">
        <f>BH24-BF24</f>
        <v>38.2599999999999</v>
      </c>
      <c r="BH24" s="24">
        <v>1030.08</v>
      </c>
      <c r="BI24" s="24">
        <f>BJ24-BH24</f>
        <v>35.53</v>
      </c>
      <c r="BJ24" s="24">
        <v>1065.61</v>
      </c>
      <c r="BK24" s="24">
        <f>BL24-BJ24</f>
        <v>36.8300000000002</v>
      </c>
      <c r="BL24" s="24">
        <v>1102.44</v>
      </c>
      <c r="BM24" s="24">
        <f>BN24-BL24</f>
        <v>30.4199999999998</v>
      </c>
      <c r="BN24" s="24">
        <v>1132.86</v>
      </c>
      <c r="BO24" s="24">
        <f>BP24-BN24</f>
        <v>21.5400000000002</v>
      </c>
      <c r="BP24" s="24">
        <v>1154.4</v>
      </c>
      <c r="BQ24" s="24">
        <f>BR24-BP24</f>
        <v>41.52</v>
      </c>
      <c r="BR24" s="24">
        <v>1195.92</v>
      </c>
      <c r="BS24" s="23" t="s">
        <v>81</v>
      </c>
      <c r="BT24" s="18">
        <v>402.91</v>
      </c>
      <c r="BU24" s="18" t="s">
        <v>80</v>
      </c>
      <c r="BV24" s="18">
        <v>368.34</v>
      </c>
      <c r="BW24" s="8">
        <v>0</v>
      </c>
      <c r="BX24" s="8">
        <v>1</v>
      </c>
      <c r="BY24" s="8">
        <v>47256</v>
      </c>
      <c r="BZ24" s="15">
        <f>2.6314/(BR24/BT24)</f>
        <v>0.886528675831159</v>
      </c>
      <c r="CA24" s="15">
        <f>BP24-D24</f>
        <v>790.52</v>
      </c>
    </row>
    <row r="25" spans="1:79">
      <c r="A25" s="8" t="s">
        <v>61</v>
      </c>
      <c r="B25" s="8" t="s">
        <v>105</v>
      </c>
      <c r="C25" s="8" t="s">
        <v>100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13"/>
      <c r="W25" s="8"/>
      <c r="X25" s="13"/>
      <c r="Y25" s="8"/>
      <c r="Z25" s="8"/>
      <c r="AA25" s="8"/>
      <c r="AB25" s="8"/>
      <c r="AC25" s="8"/>
      <c r="AD25" s="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>
        <v>788.5</v>
      </c>
      <c r="AS25" s="18">
        <f>AT25-AR25</f>
        <v>0</v>
      </c>
      <c r="AT25" s="18">
        <v>788.5</v>
      </c>
      <c r="AU25" s="23">
        <f>AV25-AT25</f>
        <v>20.29</v>
      </c>
      <c r="AV25" s="23">
        <v>808.79</v>
      </c>
      <c r="AW25" s="24">
        <f>AX25-AV25</f>
        <v>8.25999999999999</v>
      </c>
      <c r="AX25" s="24">
        <v>817.05</v>
      </c>
      <c r="AY25" s="24">
        <f>AZ25-AX25</f>
        <v>15.9300000000001</v>
      </c>
      <c r="AZ25" s="24">
        <v>832.98</v>
      </c>
      <c r="BA25" s="24">
        <f>BB25-AZ25</f>
        <v>25.21</v>
      </c>
      <c r="BB25" s="24">
        <v>858.19</v>
      </c>
      <c r="BC25" s="24">
        <f>BD25-BB25</f>
        <v>13.5699999999999</v>
      </c>
      <c r="BD25" s="24">
        <v>871.76</v>
      </c>
      <c r="BE25" s="23">
        <f>BF25-BD25</f>
        <v>30.02</v>
      </c>
      <c r="BF25" s="24">
        <v>901.78</v>
      </c>
      <c r="BG25" s="24">
        <f>BH25-BF25</f>
        <v>44.85</v>
      </c>
      <c r="BH25" s="24">
        <v>946.63</v>
      </c>
      <c r="BI25" s="24">
        <f>BJ25-BH25</f>
        <v>31.9299999999999</v>
      </c>
      <c r="BJ25" s="24">
        <v>978.56</v>
      </c>
      <c r="BK25" s="24">
        <f>BL25-BJ25</f>
        <v>13.87</v>
      </c>
      <c r="BL25" s="24">
        <v>992.43</v>
      </c>
      <c r="BM25" s="24">
        <f>BN25-BL25</f>
        <v>37.7300000000001</v>
      </c>
      <c r="BN25" s="24">
        <v>1030.16</v>
      </c>
      <c r="BO25" s="24">
        <f>BP25-BN25</f>
        <v>14.8899999999999</v>
      </c>
      <c r="BP25" s="24">
        <v>1045.05</v>
      </c>
      <c r="BQ25" s="24">
        <f>BR25-BP25</f>
        <v>16.22</v>
      </c>
      <c r="BR25" s="24">
        <v>1061.27</v>
      </c>
      <c r="BS25" s="23" t="s">
        <v>80</v>
      </c>
      <c r="BT25" s="18">
        <v>227.51</v>
      </c>
      <c r="BU25" s="18" t="s">
        <v>81</v>
      </c>
      <c r="BV25" s="18">
        <v>184.85</v>
      </c>
      <c r="BW25" s="3"/>
      <c r="BX25" s="3"/>
      <c r="BY25" s="3"/>
      <c r="BZ25" s="15">
        <f>2.6314/(BR25/BT25)</f>
        <v>0.564106979373769</v>
      </c>
      <c r="CA25" s="15">
        <f>BP25-D25</f>
        <v>1045.05</v>
      </c>
    </row>
    <row r="26" spans="1:79">
      <c r="A26" s="3" t="s">
        <v>70</v>
      </c>
      <c r="B26" s="3" t="s">
        <v>106</v>
      </c>
      <c r="C26" s="3" t="s">
        <v>100</v>
      </c>
      <c r="D26" s="3">
        <v>305.29</v>
      </c>
      <c r="E26" s="3">
        <f>F26-D26</f>
        <v>17.97</v>
      </c>
      <c r="F26" s="3">
        <v>323.26</v>
      </c>
      <c r="G26" s="3">
        <f>H26-F26</f>
        <v>10.82</v>
      </c>
      <c r="H26" s="3">
        <v>334.08</v>
      </c>
      <c r="I26" s="3">
        <f>J26-H26</f>
        <v>16.2</v>
      </c>
      <c r="J26" s="3">
        <v>350.28</v>
      </c>
      <c r="K26" s="3">
        <f>L26-J26</f>
        <v>10.8</v>
      </c>
      <c r="L26" s="3">
        <v>361.08</v>
      </c>
      <c r="M26" s="3">
        <f>N26-L26</f>
        <v>9.98000000000002</v>
      </c>
      <c r="N26" s="3">
        <v>371.06</v>
      </c>
      <c r="O26" s="3">
        <f>P26-N26</f>
        <v>10.17</v>
      </c>
      <c r="P26" s="3">
        <v>381.23</v>
      </c>
      <c r="Q26" s="3">
        <f>R26-P26</f>
        <v>20.97</v>
      </c>
      <c r="R26" s="3">
        <v>402.2</v>
      </c>
      <c r="S26" s="3">
        <f>T26-R26</f>
        <v>5.68000000000001</v>
      </c>
      <c r="T26" s="3">
        <v>407.88</v>
      </c>
      <c r="U26" s="3">
        <f>V26-T26</f>
        <v>25.13</v>
      </c>
      <c r="V26" s="14">
        <v>433.01</v>
      </c>
      <c r="W26" s="3">
        <f>X26-V26</f>
        <v>37.15</v>
      </c>
      <c r="X26" s="14">
        <v>470.16</v>
      </c>
      <c r="Y26" s="3">
        <f>Z26-X26</f>
        <v>10.92</v>
      </c>
      <c r="Z26" s="3">
        <v>481.08</v>
      </c>
      <c r="AA26" s="3">
        <f>AB26-Z26</f>
        <v>13.68</v>
      </c>
      <c r="AB26" s="3">
        <v>494.76</v>
      </c>
      <c r="AC26" s="3">
        <f>AD26-AB26</f>
        <v>12.69</v>
      </c>
      <c r="AD26" s="3">
        <v>507.45</v>
      </c>
      <c r="AE26" s="19">
        <f>AF26-AD26</f>
        <v>42.97</v>
      </c>
      <c r="AF26" s="19">
        <v>550.42</v>
      </c>
      <c r="AG26" s="19">
        <f>AH26-AF26</f>
        <v>13</v>
      </c>
      <c r="AH26" s="19">
        <v>563.42</v>
      </c>
      <c r="AI26" s="19">
        <f>AJ26-AH26</f>
        <v>50.58</v>
      </c>
      <c r="AJ26" s="19">
        <v>614</v>
      </c>
      <c r="AK26" s="19">
        <f>AL26-AJ26</f>
        <v>26.13</v>
      </c>
      <c r="AL26" s="19">
        <v>640.13</v>
      </c>
      <c r="AM26" s="19">
        <f>AN26-AL26</f>
        <v>8.04999999999995</v>
      </c>
      <c r="AN26" s="19">
        <v>648.18</v>
      </c>
      <c r="AO26" s="19">
        <f>AP26-AN26</f>
        <v>9.7600000000001</v>
      </c>
      <c r="AP26" s="19">
        <v>657.94</v>
      </c>
      <c r="AQ26" s="19">
        <f>AR26-AP26</f>
        <v>24.02</v>
      </c>
      <c r="AR26" s="19">
        <v>681.96</v>
      </c>
      <c r="AS26" s="19">
        <f>AT26-AR26</f>
        <v>24.65</v>
      </c>
      <c r="AT26" s="19">
        <v>706.61</v>
      </c>
      <c r="AU26" s="25">
        <f>AV26-AT26</f>
        <v>17.4399999999999</v>
      </c>
      <c r="AV26" s="25">
        <v>724.05</v>
      </c>
      <c r="AW26" s="29">
        <f>AX26-AV26</f>
        <v>17.08</v>
      </c>
      <c r="AX26" s="29">
        <v>741.13</v>
      </c>
      <c r="AY26" s="29">
        <f>AZ26-AX26</f>
        <v>24.95</v>
      </c>
      <c r="AZ26" s="29">
        <v>766.08</v>
      </c>
      <c r="BA26" s="29">
        <f>BB26-AZ26</f>
        <v>13.52</v>
      </c>
      <c r="BB26" s="29">
        <v>779.6</v>
      </c>
      <c r="BC26" s="29">
        <f>BD26-BB26</f>
        <v>23.9599999999999</v>
      </c>
      <c r="BD26" s="29">
        <v>803.56</v>
      </c>
      <c r="BE26" s="25">
        <f>BF26-BD26</f>
        <v>9.98000000000002</v>
      </c>
      <c r="BF26" s="29">
        <v>813.54</v>
      </c>
      <c r="BG26" s="29">
        <f>BH26-BF26</f>
        <v>27.73</v>
      </c>
      <c r="BH26" s="29">
        <v>841.27</v>
      </c>
      <c r="BI26" s="29">
        <f>BJ26-BH26</f>
        <v>25.37</v>
      </c>
      <c r="BJ26" s="29">
        <v>866.64</v>
      </c>
      <c r="BK26" s="29">
        <f>BL26-BJ26</f>
        <v>18.66</v>
      </c>
      <c r="BL26" s="29">
        <v>885.3</v>
      </c>
      <c r="BM26" s="29">
        <f>BN26-BL26</f>
        <v>41.36</v>
      </c>
      <c r="BN26" s="29">
        <v>926.66</v>
      </c>
      <c r="BO26" s="29">
        <f>BP26-BN26</f>
        <v>25.24</v>
      </c>
      <c r="BP26" s="29">
        <v>951.9</v>
      </c>
      <c r="BQ26" s="29">
        <f>BR26-BP26</f>
        <v>11.91</v>
      </c>
      <c r="BR26" s="29">
        <v>963.81</v>
      </c>
      <c r="BS26" s="25" t="s">
        <v>81</v>
      </c>
      <c r="BT26" s="19">
        <v>311.37</v>
      </c>
      <c r="BU26" s="19" t="s">
        <v>81</v>
      </c>
      <c r="BV26" s="19">
        <v>196.95</v>
      </c>
      <c r="BW26" s="3">
        <v>0</v>
      </c>
      <c r="BX26" s="3">
        <v>1</v>
      </c>
      <c r="BY26" s="3">
        <v>28066</v>
      </c>
      <c r="BZ26" s="15">
        <f>2.6314/(BR26/BT26)</f>
        <v>0.850104292339777</v>
      </c>
      <c r="CA26" s="15">
        <f>BP26-D26</f>
        <v>646.61</v>
      </c>
    </row>
    <row r="27" spans="1:79">
      <c r="A27" s="3" t="s">
        <v>61</v>
      </c>
      <c r="B27" s="3" t="s">
        <v>107</v>
      </c>
      <c r="C27" s="3" t="s">
        <v>95</v>
      </c>
      <c r="D27" s="3">
        <v>407.35</v>
      </c>
      <c r="E27" s="3">
        <f>F27-D27</f>
        <v>13.86</v>
      </c>
      <c r="F27" s="3">
        <v>421.21</v>
      </c>
      <c r="G27" s="3">
        <f>H27-F27</f>
        <v>16.43</v>
      </c>
      <c r="H27" s="3">
        <v>437.64</v>
      </c>
      <c r="I27" s="3">
        <f>J27-H27</f>
        <v>13.64</v>
      </c>
      <c r="J27" s="3">
        <v>451.28</v>
      </c>
      <c r="K27" s="3">
        <f>L27-J27</f>
        <v>11.6</v>
      </c>
      <c r="L27" s="3">
        <v>462.88</v>
      </c>
      <c r="M27" s="3">
        <f>N27-L27</f>
        <v>47.68</v>
      </c>
      <c r="N27" s="3">
        <v>510.56</v>
      </c>
      <c r="O27" s="3">
        <f>P27-N27</f>
        <v>20.51</v>
      </c>
      <c r="P27" s="3">
        <v>531.07</v>
      </c>
      <c r="Q27" s="3">
        <f>R27-P27</f>
        <v>18.6099999999999</v>
      </c>
      <c r="R27" s="3">
        <v>549.68</v>
      </c>
      <c r="S27" s="3">
        <f>T27-R27</f>
        <v>11.9400000000001</v>
      </c>
      <c r="T27" s="3">
        <v>561.62</v>
      </c>
      <c r="U27" s="3">
        <f>V27-T27</f>
        <v>16.23</v>
      </c>
      <c r="V27" s="14">
        <v>577.85</v>
      </c>
      <c r="W27" s="3">
        <f>X27-V27</f>
        <v>15.28</v>
      </c>
      <c r="X27" s="14">
        <v>593.13</v>
      </c>
      <c r="Y27" s="3">
        <f>Z27-X27</f>
        <v>33.2</v>
      </c>
      <c r="Z27" s="3">
        <v>626.33</v>
      </c>
      <c r="AA27" s="3">
        <f>AB27-Z27</f>
        <v>16.7199999999999</v>
      </c>
      <c r="AB27" s="3">
        <v>643.05</v>
      </c>
      <c r="AC27" s="3">
        <f>AD27-AB27</f>
        <v>11.9300000000001</v>
      </c>
      <c r="AD27" s="3">
        <v>654.98</v>
      </c>
      <c r="AE27" s="19">
        <f>AF27-AD27</f>
        <v>9.16999999999996</v>
      </c>
      <c r="AF27" s="19">
        <v>664.15</v>
      </c>
      <c r="AG27" s="19">
        <f>AH27-AF27</f>
        <v>25.0500000000001</v>
      </c>
      <c r="AH27" s="19">
        <v>689.2</v>
      </c>
      <c r="AI27" s="19">
        <f>AJ27-AH27</f>
        <v>9.88999999999999</v>
      </c>
      <c r="AJ27" s="19">
        <v>699.09</v>
      </c>
      <c r="AK27" s="19">
        <f>AL27-AJ27</f>
        <v>19.55</v>
      </c>
      <c r="AL27" s="19">
        <v>718.64</v>
      </c>
      <c r="AM27" s="19">
        <f>AN27-AL27</f>
        <v>15.5</v>
      </c>
      <c r="AN27" s="19">
        <v>734.14</v>
      </c>
      <c r="AO27" s="19">
        <f>AP27-AN27</f>
        <v>17.77</v>
      </c>
      <c r="AP27" s="19">
        <v>751.91</v>
      </c>
      <c r="AQ27" s="19">
        <f>AR27-AP27</f>
        <v>6.73000000000002</v>
      </c>
      <c r="AR27" s="19">
        <v>758.64</v>
      </c>
      <c r="AS27" s="19">
        <f>AT27-AR27</f>
        <v>25.71</v>
      </c>
      <c r="AT27" s="19">
        <v>784.35</v>
      </c>
      <c r="AU27" s="25">
        <f>AV27-AT27</f>
        <v>6.80999999999995</v>
      </c>
      <c r="AV27" s="25">
        <v>791.16</v>
      </c>
      <c r="AW27" s="29">
        <f>AX27-AV27</f>
        <v>22.99</v>
      </c>
      <c r="AX27" s="29">
        <v>814.15</v>
      </c>
      <c r="AY27" s="29">
        <f>AZ27-AX27</f>
        <v>7.02999999999997</v>
      </c>
      <c r="AZ27" s="29">
        <v>821.18</v>
      </c>
      <c r="BA27" s="29">
        <f>BB27-AZ27</f>
        <v>10.8000000000001</v>
      </c>
      <c r="BB27" s="29">
        <v>831.98</v>
      </c>
      <c r="BC27" s="29">
        <f>BD27-BB27</f>
        <v>9.29999999999995</v>
      </c>
      <c r="BD27" s="29">
        <v>841.28</v>
      </c>
      <c r="BE27" s="25">
        <f>BF27-BD27</f>
        <v>10.27</v>
      </c>
      <c r="BF27" s="29">
        <v>851.55</v>
      </c>
      <c r="BG27" s="29">
        <f>BH27-BF27</f>
        <v>5.25</v>
      </c>
      <c r="BH27" s="29">
        <v>856.8</v>
      </c>
      <c r="BI27" s="29">
        <f>BJ27-BH27</f>
        <v>38.2900000000001</v>
      </c>
      <c r="BJ27" s="29">
        <v>895.09</v>
      </c>
      <c r="BK27" s="29">
        <f>BL27-BJ27</f>
        <v>5.57999999999993</v>
      </c>
      <c r="BL27" s="29">
        <v>900.67</v>
      </c>
      <c r="BM27" s="29">
        <f>BN27-BL27</f>
        <v>8.44000000000005</v>
      </c>
      <c r="BN27" s="29">
        <v>909.11</v>
      </c>
      <c r="BO27" s="29">
        <f>BP27-BN27</f>
        <v>15.85</v>
      </c>
      <c r="BP27" s="29">
        <v>924.96</v>
      </c>
      <c r="BQ27" s="29">
        <f>BR27-BP27</f>
        <v>18.7199999999999</v>
      </c>
      <c r="BR27" s="29">
        <v>943.68</v>
      </c>
      <c r="BS27" s="25" t="s">
        <v>64</v>
      </c>
      <c r="BT27" s="19">
        <v>434.75</v>
      </c>
      <c r="BU27" s="19" t="s">
        <v>108</v>
      </c>
      <c r="BV27" s="19">
        <v>293.75</v>
      </c>
      <c r="BW27" s="3">
        <v>30</v>
      </c>
      <c r="BX27" s="3">
        <v>2.4</v>
      </c>
      <c r="BY27" s="3">
        <v>43895</v>
      </c>
      <c r="BZ27" s="15">
        <f>2.6314/(BR27/BT27)</f>
        <v>1.21227656620888</v>
      </c>
      <c r="CA27" s="15">
        <f>BP27-D27</f>
        <v>517.61</v>
      </c>
    </row>
    <row r="28" spans="1:79">
      <c r="A28" s="3" t="s">
        <v>53</v>
      </c>
      <c r="B28" s="3" t="s">
        <v>109</v>
      </c>
      <c r="C28" s="3" t="s">
        <v>100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14"/>
      <c r="W28" s="3"/>
      <c r="X28" s="14"/>
      <c r="Y28" s="3"/>
      <c r="Z28" s="3"/>
      <c r="AA28" s="3"/>
      <c r="AB28" s="3"/>
      <c r="AC28" s="3"/>
      <c r="AD28" s="3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>
        <v>686.23</v>
      </c>
      <c r="AS28" s="19">
        <f>AT28-AR28</f>
        <v>0</v>
      </c>
      <c r="AT28" s="19">
        <v>686.23</v>
      </c>
      <c r="AU28" s="25">
        <f>AV28-AT28</f>
        <v>33.75</v>
      </c>
      <c r="AV28" s="25">
        <v>719.98</v>
      </c>
      <c r="AW28" s="29">
        <f>AX28-AV28</f>
        <v>24.6999999999999</v>
      </c>
      <c r="AX28" s="29">
        <v>744.68</v>
      </c>
      <c r="AY28" s="29">
        <f>AZ28-AX28</f>
        <v>7.6400000000001</v>
      </c>
      <c r="AZ28" s="29">
        <v>752.32</v>
      </c>
      <c r="BA28" s="29">
        <f>BB28-AZ28</f>
        <v>41.02</v>
      </c>
      <c r="BB28" s="29">
        <v>793.34</v>
      </c>
      <c r="BC28" s="29">
        <f>BD28-BB28</f>
        <v>17.66</v>
      </c>
      <c r="BD28" s="29">
        <v>811</v>
      </c>
      <c r="BE28" s="25">
        <f>BF28-BD28</f>
        <v>6.5</v>
      </c>
      <c r="BF28" s="29">
        <v>817.5</v>
      </c>
      <c r="BG28" s="29">
        <f>BH28-BF28</f>
        <v>13.03</v>
      </c>
      <c r="BH28" s="29">
        <v>830.53</v>
      </c>
      <c r="BI28" s="29">
        <f>BJ28-BH28</f>
        <v>11.5600000000001</v>
      </c>
      <c r="BJ28" s="29">
        <v>842.09</v>
      </c>
      <c r="BK28" s="29">
        <f>BL28-BJ28</f>
        <v>11.9499999999999</v>
      </c>
      <c r="BL28" s="29">
        <v>854.04</v>
      </c>
      <c r="BM28" s="29">
        <f>BN28-BL28</f>
        <v>28.2800000000001</v>
      </c>
      <c r="BN28" s="29">
        <v>882.32</v>
      </c>
      <c r="BO28" s="29">
        <f>BP28-BN28</f>
        <v>15.0799999999999</v>
      </c>
      <c r="BP28" s="29">
        <v>897.4</v>
      </c>
      <c r="BQ28" s="29">
        <f>BR28-BP28</f>
        <v>8.04000000000008</v>
      </c>
      <c r="BR28" s="29">
        <v>905.44</v>
      </c>
      <c r="BS28" s="25" t="s">
        <v>97</v>
      </c>
      <c r="BT28" s="19">
        <v>189.53</v>
      </c>
      <c r="BU28" s="19" t="s">
        <v>110</v>
      </c>
      <c r="BV28" s="19">
        <v>148.34</v>
      </c>
      <c r="BW28" s="3"/>
      <c r="BX28" s="3"/>
      <c r="BY28" s="3"/>
      <c r="BZ28" s="15">
        <f>2.6314/(BR28/BT28)</f>
        <v>0.550814236172469</v>
      </c>
      <c r="CA28" s="15">
        <f>BP28-D28</f>
        <v>897.4</v>
      </c>
    </row>
    <row r="29" spans="1:79">
      <c r="A29" s="3" t="s">
        <v>57</v>
      </c>
      <c r="B29" s="3" t="s">
        <v>111</v>
      </c>
      <c r="C29" s="3" t="s">
        <v>100</v>
      </c>
      <c r="D29" s="3">
        <v>552.79</v>
      </c>
      <c r="E29" s="3">
        <f>F29-D29</f>
        <v>15.9400000000001</v>
      </c>
      <c r="F29" s="3">
        <v>568.73</v>
      </c>
      <c r="G29" s="3">
        <f>H29-F29</f>
        <v>1.61000000000001</v>
      </c>
      <c r="H29" s="3">
        <v>570.34</v>
      </c>
      <c r="I29" s="3">
        <f>J29-H29</f>
        <v>7.13999999999999</v>
      </c>
      <c r="J29" s="3">
        <v>577.48</v>
      </c>
      <c r="K29" s="3">
        <f>L29-J29</f>
        <v>2.88999999999999</v>
      </c>
      <c r="L29" s="3">
        <v>580.37</v>
      </c>
      <c r="M29" s="3">
        <f>N29-L29</f>
        <v>2.55999999999995</v>
      </c>
      <c r="N29" s="3">
        <v>582.93</v>
      </c>
      <c r="O29" s="3">
        <f>P29-N29</f>
        <v>24.99</v>
      </c>
      <c r="P29" s="3">
        <v>607.92</v>
      </c>
      <c r="Q29" s="3">
        <f>R29-P29</f>
        <v>0.330000000000041</v>
      </c>
      <c r="R29" s="3">
        <v>608.25</v>
      </c>
      <c r="S29" s="3">
        <f>T29-R29</f>
        <v>1.80999999999995</v>
      </c>
      <c r="T29" s="3">
        <v>610.06</v>
      </c>
      <c r="U29" s="3">
        <f>V29-T29</f>
        <v>0.560000000000059</v>
      </c>
      <c r="V29" s="14">
        <v>610.62</v>
      </c>
      <c r="W29" s="3">
        <f>X29-V29</f>
        <v>3.83000000000004</v>
      </c>
      <c r="X29" s="14">
        <v>614.45</v>
      </c>
      <c r="Y29" s="3">
        <f>Z29-X29</f>
        <v>0.189999999999941</v>
      </c>
      <c r="Z29" s="3">
        <v>614.64</v>
      </c>
      <c r="AA29" s="3">
        <f>AB29-Z29</f>
        <v>0.690000000000055</v>
      </c>
      <c r="AB29" s="3">
        <v>615.33</v>
      </c>
      <c r="AC29" s="3">
        <f>AD29-AB29</f>
        <v>6.64999999999998</v>
      </c>
      <c r="AD29" s="3">
        <v>621.98</v>
      </c>
      <c r="AE29" s="19">
        <f>AF29-AD29</f>
        <v>0</v>
      </c>
      <c r="AF29" s="19">
        <v>621.98</v>
      </c>
      <c r="AG29" s="19">
        <f>AH29-AF29</f>
        <v>13.62</v>
      </c>
      <c r="AH29" s="19">
        <v>635.6</v>
      </c>
      <c r="AI29" s="19">
        <f>AJ29-AH29</f>
        <v>16.48</v>
      </c>
      <c r="AJ29" s="19">
        <v>652.08</v>
      </c>
      <c r="AK29" s="19">
        <f>AL29-AJ29</f>
        <v>5.84999999999991</v>
      </c>
      <c r="AL29" s="19">
        <v>657.93</v>
      </c>
      <c r="AM29" s="19">
        <f>AN29-AL29</f>
        <v>5.80000000000007</v>
      </c>
      <c r="AN29" s="19">
        <v>663.73</v>
      </c>
      <c r="AO29" s="19">
        <f>AP29-AN29</f>
        <v>13.75</v>
      </c>
      <c r="AP29" s="19">
        <v>677.48</v>
      </c>
      <c r="AQ29" s="19">
        <f>AR29-AP29</f>
        <v>3.60000000000002</v>
      </c>
      <c r="AR29" s="19">
        <v>681.08</v>
      </c>
      <c r="AS29" s="19">
        <f>AT29-AR29</f>
        <v>12.0799999999999</v>
      </c>
      <c r="AT29" s="19">
        <v>693.16</v>
      </c>
      <c r="AU29" s="25">
        <f>AV29-AT29</f>
        <v>4.29000000000008</v>
      </c>
      <c r="AV29" s="25">
        <v>697.45</v>
      </c>
      <c r="AW29" s="29">
        <f>AX29-AV29</f>
        <v>1.69999999999993</v>
      </c>
      <c r="AX29" s="29">
        <v>699.15</v>
      </c>
      <c r="AY29" s="29">
        <f>AZ29-AX29</f>
        <v>1.69000000000005</v>
      </c>
      <c r="AZ29" s="29">
        <v>700.84</v>
      </c>
      <c r="BA29" s="29">
        <f>BB29-AZ29</f>
        <v>8.5</v>
      </c>
      <c r="BB29" s="29">
        <v>709.34</v>
      </c>
      <c r="BC29" s="29">
        <f>BD29-BB29</f>
        <v>2.5</v>
      </c>
      <c r="BD29" s="29">
        <v>711.84</v>
      </c>
      <c r="BE29" s="25">
        <f>BF29-BD29</f>
        <v>0</v>
      </c>
      <c r="BF29" s="29">
        <v>711.84</v>
      </c>
      <c r="BG29" s="29">
        <f>BH29-BF29</f>
        <v>5.63999999999999</v>
      </c>
      <c r="BH29" s="29">
        <v>717.48</v>
      </c>
      <c r="BI29" s="29">
        <f>BJ29-BH29</f>
        <v>3.46000000000004</v>
      </c>
      <c r="BJ29" s="29">
        <v>720.94</v>
      </c>
      <c r="BK29" s="29">
        <f>BL29-BJ29</f>
        <v>0.75</v>
      </c>
      <c r="BL29" s="29">
        <v>721.69</v>
      </c>
      <c r="BM29" s="29">
        <f>BN29-BL29</f>
        <v>4.17999999999995</v>
      </c>
      <c r="BN29" s="29">
        <v>725.87</v>
      </c>
      <c r="BO29" s="29">
        <f>BP29-BN29</f>
        <v>1.95000000000005</v>
      </c>
      <c r="BP29" s="29">
        <v>727.82</v>
      </c>
      <c r="BQ29" s="29">
        <f>BR29-BP29</f>
        <v>7.20999999999992</v>
      </c>
      <c r="BR29" s="29">
        <v>735.03</v>
      </c>
      <c r="BS29" s="25" t="s">
        <v>81</v>
      </c>
      <c r="BT29" s="19">
        <v>186.78</v>
      </c>
      <c r="BU29" s="19" t="s">
        <v>80</v>
      </c>
      <c r="BV29" s="19">
        <v>171.75</v>
      </c>
      <c r="BW29" s="3">
        <v>0</v>
      </c>
      <c r="BX29" s="3">
        <v>0.5</v>
      </c>
      <c r="BY29" s="3">
        <v>49654</v>
      </c>
      <c r="BZ29" s="15">
        <f>2.6314/(BR29/BT29)</f>
        <v>0.66867051957063</v>
      </c>
      <c r="CA29" s="15">
        <f>BP29-D29</f>
        <v>175.03</v>
      </c>
    </row>
    <row r="32" spans="1:72">
      <c r="A32" t="s">
        <v>112</v>
      </c>
      <c r="B32" t="s">
        <v>113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</row>
    <row r="33" spans="1:75">
      <c r="A33" t="s">
        <v>114</v>
      </c>
      <c r="B33" t="s">
        <v>115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30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</row>
    <row r="34" spans="1:2">
      <c r="A34" t="s">
        <v>100</v>
      </c>
      <c r="B34" t="s">
        <v>116</v>
      </c>
    </row>
    <row r="35" spans="1:71">
      <c r="A35" t="s">
        <v>95</v>
      </c>
      <c r="B35" t="s">
        <v>117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30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</row>
    <row r="36" spans="1:2">
      <c r="A36" t="s">
        <v>78</v>
      </c>
      <c r="B36" t="s">
        <v>118</v>
      </c>
    </row>
    <row r="37" spans="1:2">
      <c r="A37" t="s">
        <v>72</v>
      </c>
      <c r="B37" t="s">
        <v>119</v>
      </c>
    </row>
    <row r="38" spans="1:2">
      <c r="A38" t="s">
        <v>63</v>
      </c>
      <c r="B38" t="s">
        <v>120</v>
      </c>
    </row>
    <row r="39" spans="1:2">
      <c r="A39" t="s">
        <v>50</v>
      </c>
      <c r="B39" t="s">
        <v>121</v>
      </c>
    </row>
    <row r="40" spans="1:2">
      <c r="A40" t="s">
        <v>122</v>
      </c>
      <c r="B40" t="s">
        <v>123</v>
      </c>
    </row>
    <row r="41" spans="1:2">
      <c r="A41" t="s">
        <v>124</v>
      </c>
      <c r="B41" t="s">
        <v>125</v>
      </c>
    </row>
  </sheetData>
  <sortState ref="A2:CA29">
    <sortCondition ref="BR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8"/>
  <sheetViews>
    <sheetView topLeftCell="Z1" workbookViewId="0">
      <selection activeCell="AM17" sqref="AM17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37" width="16.125" customWidth="1"/>
    <col min="38" max="38" width="12.7583333333333" customWidth="1"/>
    <col min="39" max="39" width="14" customWidth="1"/>
    <col min="41" max="41" width="11.7583333333333" customWidth="1"/>
  </cols>
  <sheetData>
    <row r="1" spans="1:37">
      <c r="A1" t="s">
        <v>0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  <c r="L1" t="s">
        <v>136</v>
      </c>
      <c r="M1" t="s">
        <v>137</v>
      </c>
      <c r="N1" t="s">
        <v>138</v>
      </c>
      <c r="O1" t="s">
        <v>139</v>
      </c>
      <c r="P1" t="s">
        <v>140</v>
      </c>
      <c r="Q1" t="s">
        <v>141</v>
      </c>
      <c r="R1" t="s">
        <v>142</v>
      </c>
      <c r="S1" t="s">
        <v>143</v>
      </c>
      <c r="T1" t="s">
        <v>144</v>
      </c>
      <c r="U1" t="s">
        <v>145</v>
      </c>
      <c r="V1" t="s">
        <v>146</v>
      </c>
      <c r="W1" t="s">
        <v>147</v>
      </c>
      <c r="X1" t="s">
        <v>148</v>
      </c>
      <c r="Y1" t="s">
        <v>149</v>
      </c>
      <c r="Z1" t="s">
        <v>150</v>
      </c>
      <c r="AA1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</row>
    <row r="2" spans="1:37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7">
        <f>SUM(A2:AJ2)</f>
        <v>270310</v>
      </c>
    </row>
    <row r="3" spans="1:37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7">
        <f t="shared" ref="AK3:AK9" si="0">SUM(A3:AJ3)</f>
        <v>178681</v>
      </c>
    </row>
    <row r="4" spans="1:37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f t="shared" si="0"/>
        <v>18357</v>
      </c>
    </row>
    <row r="5" spans="1:37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7">
        <f t="shared" si="0"/>
        <v>248313</v>
      </c>
    </row>
    <row r="6" spans="1:37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f t="shared" si="0"/>
        <v>57579</v>
      </c>
    </row>
    <row r="7" spans="1:37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f t="shared" si="0"/>
        <v>70000</v>
      </c>
    </row>
    <row r="8" spans="1:37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f t="shared" si="0"/>
        <v>108781</v>
      </c>
    </row>
    <row r="9" spans="1:37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f t="shared" si="0"/>
        <v>68392</v>
      </c>
    </row>
    <row r="14" spans="1:37">
      <c r="A14" t="s">
        <v>162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G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>SUM(AH2:AH9)</f>
        <v>17290</v>
      </c>
      <c r="AI14">
        <f>SUM(AI2:AI9)</f>
        <v>20305</v>
      </c>
      <c r="AJ14">
        <f>SUM(AJ2:AJ9)</f>
        <v>18960</v>
      </c>
      <c r="AK14">
        <f>SUM(B14:AJ14)</f>
        <v>1019225</v>
      </c>
    </row>
    <row r="18" ht="10" customHeight="1"/>
    <row r="19" spans="1:1">
      <c r="A19" t="s">
        <v>163</v>
      </c>
    </row>
    <row r="20" spans="1:36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</row>
    <row r="21" spans="1:36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</row>
    <row r="22" spans="1:36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</row>
    <row r="23" spans="1:36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</row>
    <row r="24" spans="1:36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</row>
    <row r="25" spans="1:36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</row>
    <row r="26" spans="1:36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</row>
    <row r="27" spans="1:36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</row>
    <row r="29" spans="1:37">
      <c r="A29" t="s">
        <v>164</v>
      </c>
      <c r="AK29" t="s">
        <v>165</v>
      </c>
    </row>
    <row r="30" spans="2:37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B31-AJ31</f>
        <v>-0.485714285714286</v>
      </c>
    </row>
    <row r="32" spans="1:37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B32-AJ32</f>
        <v>0.142857142857143</v>
      </c>
    </row>
    <row r="33" spans="1:37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0.0571428571428569</v>
      </c>
    </row>
    <row r="34" spans="1:37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0.2</v>
      </c>
    </row>
    <row r="35" spans="1:37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38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-2.11428571428571</v>
      </c>
    </row>
    <row r="36" spans="1:37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38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0.257142857142857</v>
      </c>
    </row>
    <row r="37" spans="1:37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38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>SUM(B26:AH26)/33</f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0.8</v>
      </c>
    </row>
    <row r="38" spans="1:37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38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1.14285714285714</v>
      </c>
    </row>
  </sheetData>
  <pageMargins left="0.7" right="0.7" top="0.75" bottom="0.75" header="0.3" footer="0.3"/>
  <pageSetup paperSize="9" orientation="portrait"/>
  <headerFooter/>
  <ignoredErrors>
    <ignoredError sqref="AI31:AJ38 AH31:AH38 N31:AG31 N32:AG38 C31:L38 M31:M3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2025-11-11T02:47:10Z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