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<sst xmlns="http://schemas.openxmlformats.org/spreadsheetml/2006/main" count="308" uniqueCount="185">
  <si>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</si>
  <si>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</si>
  <si>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</si>
  <si>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</si>
  <si>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</si>
  <si>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</si>
  <si>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</si>
  <si>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</si>
  <si>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</si>
  <si>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</si>
  <si>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</si>
  <si>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</si>
  <si>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</si>
  <si>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</si>
  <si>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</si>
  <si>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</si>
  <si>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</si>
  <si>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</si>
  <si>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</si>
  <si>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</si>
  <si>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</si>
  <si>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</si>
  <si>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</si>
  <si>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</si>
  <si>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</si>
  <si>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</si>
  <si>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</si>
  <si>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</si>
  <si>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</si>
  <si>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</si>
  <si>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</si>
  <si>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</si>
  <si>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</si>
  <si>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</si>
  <si>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</si>
  <si>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</si>
  <si>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</si>
  <si>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</si>
  <si>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</si>
  <si>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</si>
  <si>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</si>
  <si>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</si>
  <si>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</si>
  <si>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</si>
  <si>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</si>
  <si>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</si>
  <si>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</si>
  <si>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</si>
  <si>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</si>
  <si>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</si>
  <si>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</si>
  <si>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</si>
  <si>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</si>
  <si>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</si>
  <si>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</si>
  <si>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</si>
  <si>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</si>
  <si>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</si>
  <si>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</si>
  <si>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</si>
  <si>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148区</t>
  </si>
  <si>
    <t>大核桃</t>
  </si>
  <si>
    <t>大氪</t>
  </si>
  <si>
    <t>眼镜妹（橙卡）</t>
  </si>
  <si>
    <t>喵喵（橙卡）</t>
  </si>
  <si>
    <t>146区</t>
  </si>
  <si>
    <t>KB</t>
  </si>
  <si>
    <t>圣母（橙卡）</t>
  </si>
  <si>
    <t>洞察女（橙卡）</t>
  </si>
  <si>
    <t>请叫我阿奎</t>
  </si>
  <si>
    <t>中氪</t>
  </si>
  <si>
    <t>丽娅（人海）</t>
  </si>
  <si>
    <t>亚芬（压制）</t>
  </si>
  <si>
    <t>151区</t>
  </si>
  <si>
    <t>suola</t>
  </si>
  <si>
    <t>洞察女（洞察）</t>
  </si>
  <si>
    <t>圣母（洞察）</t>
  </si>
  <si>
    <t>145区</t>
  </si>
  <si>
    <t>古月星辰</t>
  </si>
  <si>
    <t>中大氪</t>
  </si>
  <si>
    <t>冽（传承）</t>
  </si>
  <si>
    <t>梅养（养神）</t>
  </si>
  <si>
    <t>杜佳捷</t>
  </si>
  <si>
    <t>中低氪</t>
  </si>
  <si>
    <t>淘汰郎</t>
  </si>
  <si>
    <t>眼镜妹（跳费）</t>
  </si>
  <si>
    <t>喵喵（跳费）</t>
  </si>
  <si>
    <t>星空</t>
  </si>
  <si>
    <t>152区</t>
  </si>
  <si>
    <t>新蜂幻境</t>
  </si>
  <si>
    <t>白处尊（养神）</t>
  </si>
  <si>
    <t>梅（养神）</t>
  </si>
  <si>
    <t>1。</t>
  </si>
  <si>
    <t>迅（养神）</t>
  </si>
  <si>
    <t>12345。</t>
  </si>
  <si>
    <t>冰男（人海）</t>
  </si>
  <si>
    <t>*托</t>
  </si>
  <si>
    <t>微氪</t>
  </si>
  <si>
    <t>150区</t>
  </si>
  <si>
    <t>开飞机的贝塔</t>
  </si>
  <si>
    <t>朱</t>
  </si>
  <si>
    <t>查查（养神）</t>
  </si>
  <si>
    <t>SZH</t>
  </si>
  <si>
    <t>魔尊（快攻）</t>
  </si>
  <si>
    <t>格洛（快攻）</t>
  </si>
  <si>
    <t>明</t>
  </si>
  <si>
    <t>白夜</t>
  </si>
  <si>
    <t>149区</t>
  </si>
  <si>
    <t>灰企鹅呆瓜</t>
  </si>
  <si>
    <t>养乐多</t>
  </si>
  <si>
    <t>低氪</t>
  </si>
  <si>
    <t>小黑</t>
  </si>
  <si>
    <t>147区</t>
  </si>
  <si>
    <t>没有nic</t>
  </si>
  <si>
    <t>大良91档钟</t>
  </si>
  <si>
    <t>白处尊（人海）</t>
  </si>
  <si>
    <t>清风</t>
  </si>
  <si>
    <t>赛娜（传承）</t>
  </si>
  <si>
    <t>秋雨</t>
  </si>
  <si>
    <t>战争艺术</t>
  </si>
  <si>
    <t>[永恒]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</si>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</sst>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Y40"/>
  <sheetViews>
    <sheetView tabSelected="1" zoomScale="115" zoomScaleNormal="115" workbookViewId="0">
      <selection activeCell="DB30" sqref="DB30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91" width="17.2833333333333" hidden="1" customWidth="1"/>
    <col min="92" max="95" width="17.2833333333333" customWidth="1"/>
    <col min="96" max="96" width="14.5416666666667" customWidth="1"/>
    <col min="97" max="97" width="15.1833333333333" hidden="1" customWidth="1"/>
    <col min="98" max="98" width="13.2583333333333" hidden="1" customWidth="1"/>
    <col min="99" max="99" width="11.625" hidden="1" customWidth="1"/>
    <col min="100" max="100" width="12.6083333333333" hidden="1" customWidth="1"/>
    <col min="101" max="101" width="15.0166666666667" hidden="1" customWidth="1"/>
    <col min="102" max="102" width="12.625"/>
    <col min="103" max="103" width="11.4083333333333" hidden="1" customWidth="1"/>
  </cols>
  <sheetData>
    <row r="1" spans="1:10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51</v>
      </c>
      <c r="CR1" t="s">
        <v>52</v>
      </c>
      <c r="CS1" t="s">
        <v>53</v>
      </c>
      <c r="CT1" t="s">
        <v>54</v>
      </c>
      <c r="CU1" t="s">
        <v>55</v>
      </c>
      <c r="CV1" t="s">
        <v>56</v>
      </c>
      <c r="CW1" t="s">
        <v>57</v>
      </c>
      <c r="CX1" t="s">
        <v>58</v>
      </c>
      <c r="CY1" t="s">
        <v>59</v>
      </c>
    </row>
    <row r="2" s="8" customFormat="1" spans="1:103">
      <c r="A2" s="7" t="s">
        <v>60</v>
      </c>
      <c r="B2" s="7" t="s">
        <v>61</v>
      </c>
      <c r="C2" s="7" t="s">
        <v>62</v>
      </c>
      <c r="D2" s="7">
        <v>2714.1</v>
      </c>
      <c r="E2" s="7">
        <f>F2-D2</f>
        <v>123.29</v>
      </c>
      <c r="F2" s="7">
        <v>2837.39</v>
      </c>
      <c r="G2" s="7">
        <f>H2-F2</f>
        <v>95.8499999999999</v>
      </c>
      <c r="H2" s="7">
        <v>2933.24</v>
      </c>
      <c r="I2" s="7">
        <f>J2-H2</f>
        <v>92.46</v>
      </c>
      <c r="J2" s="7">
        <v>3025.7</v>
      </c>
      <c r="K2" s="7">
        <f>L2-J2</f>
        <v>90.4100000000003</v>
      </c>
      <c r="L2" s="7">
        <v>3116.11</v>
      </c>
      <c r="M2" s="7">
        <f>N2-L2</f>
        <v>103.54</v>
      </c>
      <c r="N2" s="7">
        <v>3219.65</v>
      </c>
      <c r="O2" s="7">
        <f>P2-N2</f>
        <v>75.6599999999999</v>
      </c>
      <c r="P2" s="7">
        <v>3295.31</v>
      </c>
      <c r="Q2" s="7">
        <f>R2-P2</f>
        <v>88.98</v>
      </c>
      <c r="R2" s="7">
        <v>3384.29</v>
      </c>
      <c r="S2" s="7">
        <f>T2-R2</f>
        <v>102.46</v>
      </c>
      <c r="T2" s="7">
        <v>3486.75</v>
      </c>
      <c r="U2" s="7">
        <f>V2-T2</f>
        <v>69.23</v>
      </c>
      <c r="V2" s="10">
        <v>3555.98</v>
      </c>
      <c r="W2" s="7">
        <f>X2-V2</f>
        <v>133.46</v>
      </c>
      <c r="X2" s="10">
        <v>3689.44</v>
      </c>
      <c r="Y2" s="7">
        <f>Z2-X2</f>
        <v>10.5999999999999</v>
      </c>
      <c r="Z2" s="7">
        <v>3700.04</v>
      </c>
      <c r="AA2" s="7">
        <f>AB2-Z2</f>
        <v>145.58</v>
      </c>
      <c r="AB2" s="7">
        <v>3845.62</v>
      </c>
      <c r="AC2" s="7">
        <f>AD2-AB2</f>
        <v>64.1800000000003</v>
      </c>
      <c r="AD2" s="15">
        <v>3909.8</v>
      </c>
      <c r="AE2" s="15">
        <f>AF2-AD2</f>
        <v>98.8399999999997</v>
      </c>
      <c r="AF2" s="15">
        <v>4008.64</v>
      </c>
      <c r="AG2" s="15">
        <f>AH2-AF2</f>
        <v>157.920000000001</v>
      </c>
      <c r="AH2" s="15">
        <v>4166.56</v>
      </c>
      <c r="AI2" s="15">
        <f>AJ2-AH2</f>
        <v>103.339999999999</v>
      </c>
      <c r="AJ2" s="15">
        <v>4269.9</v>
      </c>
      <c r="AK2" s="15">
        <f>AL2-AJ2</f>
        <v>66.25</v>
      </c>
      <c r="AL2" s="15">
        <v>4336.15</v>
      </c>
      <c r="AM2" s="15">
        <f>AN2-AL2</f>
        <v>138.700000000001</v>
      </c>
      <c r="AN2" s="15">
        <v>4474.85</v>
      </c>
      <c r="AO2" s="15">
        <f>AP2-AN2</f>
        <v>78.4499999999998</v>
      </c>
      <c r="AP2" s="15">
        <v>4553.3</v>
      </c>
      <c r="AQ2" s="15">
        <f>AR2-AP2</f>
        <v>56.7699999999995</v>
      </c>
      <c r="AR2" s="15">
        <v>4610.07</v>
      </c>
      <c r="AS2" s="15">
        <f>AT2-AR2</f>
        <v>32.3699999999999</v>
      </c>
      <c r="AT2" s="15">
        <v>4642.44</v>
      </c>
      <c r="AU2" s="20">
        <f>AV2-AT2</f>
        <v>77.6300000000001</v>
      </c>
      <c r="AV2" s="20">
        <v>4720.07</v>
      </c>
      <c r="AW2" s="26">
        <f>AX2-AV2</f>
        <v>121.33</v>
      </c>
      <c r="AX2" s="26">
        <v>4841.4</v>
      </c>
      <c r="AY2" s="26">
        <f>AZ2-AX2</f>
        <v>61.2400000000007</v>
      </c>
      <c r="AZ2" s="26">
        <v>4902.64</v>
      </c>
      <c r="BA2" s="26">
        <f>BB2-AZ2</f>
        <v>64.3099999999995</v>
      </c>
      <c r="BB2" s="26">
        <v>4966.95</v>
      </c>
      <c r="BC2" s="26">
        <f>BD2-BB2</f>
        <v>87.1000000000004</v>
      </c>
      <c r="BD2" s="26">
        <v>5054.05</v>
      </c>
      <c r="BE2" s="20">
        <f>BF2-BD2</f>
        <v>154.29</v>
      </c>
      <c r="BF2" s="26">
        <v>5208.34</v>
      </c>
      <c r="BG2" s="26">
        <f>BH2-BF2</f>
        <v>181.45</v>
      </c>
      <c r="BH2" s="26">
        <v>5389.79</v>
      </c>
      <c r="BI2" s="26">
        <f>BJ2-BH2</f>
        <v>99</v>
      </c>
      <c r="BJ2" s="26">
        <v>5488.79</v>
      </c>
      <c r="BK2" s="26">
        <f>BL2-BJ2</f>
        <v>53.9499999999998</v>
      </c>
      <c r="BL2" s="26">
        <v>5542.74</v>
      </c>
      <c r="BM2" s="26">
        <f>BN2-BL2</f>
        <v>72.0300000000007</v>
      </c>
      <c r="BN2" s="26">
        <v>5614.77</v>
      </c>
      <c r="BO2" s="26">
        <f>BP2-BN2</f>
        <v>122.11</v>
      </c>
      <c r="BP2" s="26">
        <v>5736.88</v>
      </c>
      <c r="BQ2" s="26">
        <f>BR2-BP2</f>
        <v>22.0799999999999</v>
      </c>
      <c r="BR2" s="26">
        <v>5758.96</v>
      </c>
      <c r="BS2" s="26">
        <f>BT2-BR2</f>
        <v>108.57</v>
      </c>
      <c r="BT2" s="26">
        <v>5867.53</v>
      </c>
      <c r="BU2" s="26">
        <f>BV2-BT2</f>
        <v>81.8900000000003</v>
      </c>
      <c r="BV2" s="26">
        <v>5949.42</v>
      </c>
      <c r="BW2" s="26">
        <f>BX2-BV2</f>
        <v>63.9799999999996</v>
      </c>
      <c r="BX2" s="26">
        <v>6013.4</v>
      </c>
      <c r="BY2" s="26">
        <f>BZ2-BX2</f>
        <v>64.9900000000007</v>
      </c>
      <c r="BZ2" s="26">
        <v>6078.39</v>
      </c>
      <c r="CA2" s="26">
        <f>CB2-BZ2</f>
        <v>86.1399999999994</v>
      </c>
      <c r="CB2" s="26">
        <v>6164.53</v>
      </c>
      <c r="CC2" s="26">
        <f>CD2-CB2</f>
        <v>29.3400000000001</v>
      </c>
      <c r="CD2" s="26">
        <v>6193.87</v>
      </c>
      <c r="CE2" s="26">
        <f>CF2-CD2</f>
        <v>82.7200000000003</v>
      </c>
      <c r="CF2" s="26">
        <v>6276.59</v>
      </c>
      <c r="CG2" s="26">
        <f>CH2-CF2</f>
        <v>160.44</v>
      </c>
      <c r="CH2" s="26">
        <v>6437.03</v>
      </c>
      <c r="CI2" s="26">
        <f>CJ2-CH2</f>
        <v>40.8900000000003</v>
      </c>
      <c r="CJ2" s="26">
        <v>6477.92</v>
      </c>
      <c r="CK2" s="26">
        <f>CL2-CJ2</f>
        <v>102.59</v>
      </c>
      <c r="CL2" s="26">
        <v>6580.51</v>
      </c>
      <c r="CM2" s="26">
        <f>CN2-CL2</f>
        <v>95.1399999999994</v>
      </c>
      <c r="CN2" s="26">
        <v>6675.65</v>
      </c>
      <c r="CO2" s="26">
        <f>CP2-CN2</f>
        <v>149.110000000001</v>
      </c>
      <c r="CP2" s="26">
        <v>6824.76</v>
      </c>
      <c r="CQ2" s="20" t="s">
        <v>63</v>
      </c>
      <c r="CR2" s="15">
        <v>1817.07</v>
      </c>
      <c r="CS2" s="15" t="s">
        <v>64</v>
      </c>
      <c r="CT2" s="15">
        <v>1327.12</v>
      </c>
      <c r="CU2" s="7">
        <v>500</v>
      </c>
      <c r="CV2" s="7">
        <v>8.6</v>
      </c>
      <c r="CW2" s="7">
        <v>191519</v>
      </c>
      <c r="CX2" s="15">
        <f>2.527678/(CP2/CR2)</f>
        <v>0.672985989757881</v>
      </c>
      <c r="CY2" s="15">
        <f>BP2-D2</f>
        <v>3022.78</v>
      </c>
    </row>
    <row r="3" spans="1:103">
      <c r="A3" s="7" t="s">
        <v>65</v>
      </c>
      <c r="B3" s="7" t="s">
        <v>66</v>
      </c>
      <c r="C3" s="7" t="s">
        <v>62</v>
      </c>
      <c r="D3" s="7">
        <v>4105.48</v>
      </c>
      <c r="E3" s="7">
        <f>F3-D3</f>
        <v>181.21</v>
      </c>
      <c r="F3" s="7">
        <v>4286.69</v>
      </c>
      <c r="G3" s="7">
        <f>H3-F3</f>
        <v>139.09</v>
      </c>
      <c r="H3" s="7">
        <v>4425.78</v>
      </c>
      <c r="I3" s="7">
        <f>J3-H3</f>
        <v>54.8800000000001</v>
      </c>
      <c r="J3" s="7">
        <v>4480.66</v>
      </c>
      <c r="K3" s="7">
        <f>L3-J3</f>
        <v>104.900000000001</v>
      </c>
      <c r="L3" s="7">
        <v>4585.56</v>
      </c>
      <c r="M3" s="7">
        <f>N3-L3</f>
        <v>70.29</v>
      </c>
      <c r="N3" s="7">
        <v>4655.85</v>
      </c>
      <c r="O3" s="7">
        <f>P3-N3</f>
        <v>49.1700000000001</v>
      </c>
      <c r="P3" s="7">
        <v>4705.02</v>
      </c>
      <c r="Q3" s="7">
        <f>R3-P3</f>
        <v>38.2199999999993</v>
      </c>
      <c r="R3" s="7">
        <v>4743.24</v>
      </c>
      <c r="S3" s="7">
        <f>T3-R3</f>
        <v>45.6199999999999</v>
      </c>
      <c r="T3" s="7">
        <v>4788.86</v>
      </c>
      <c r="U3" s="7">
        <f>V3-T3</f>
        <v>27.5900000000001</v>
      </c>
      <c r="V3" s="10">
        <v>4816.45</v>
      </c>
      <c r="W3" s="7">
        <f>X3-V3</f>
        <v>158.22</v>
      </c>
      <c r="X3" s="10">
        <v>4974.67</v>
      </c>
      <c r="Y3" s="7">
        <f>Z3-X3</f>
        <v>32.8999999999996</v>
      </c>
      <c r="Z3" s="7">
        <v>5007.57</v>
      </c>
      <c r="AA3" s="7">
        <f>AB3-Z3</f>
        <v>19.5700000000006</v>
      </c>
      <c r="AB3" s="7">
        <v>5027.14</v>
      </c>
      <c r="AC3" s="7">
        <f>AD3-AB3</f>
        <v>77.6899999999996</v>
      </c>
      <c r="AD3" s="7">
        <v>5104.83</v>
      </c>
      <c r="AE3" s="15">
        <f>AF3-AD3</f>
        <v>27.4499999999998</v>
      </c>
      <c r="AF3" s="15">
        <v>5132.28</v>
      </c>
      <c r="AG3" s="15">
        <f>AH3-AF3</f>
        <v>129.35</v>
      </c>
      <c r="AH3" s="15">
        <v>5261.63</v>
      </c>
      <c r="AI3" s="15">
        <f>AJ3-AH3</f>
        <v>94.04</v>
      </c>
      <c r="AJ3" s="15">
        <v>5355.67</v>
      </c>
      <c r="AK3" s="15">
        <f>AL3-AJ3</f>
        <v>102.42</v>
      </c>
      <c r="AL3" s="15">
        <v>5458.09</v>
      </c>
      <c r="AM3" s="15">
        <f>AN3-AL3</f>
        <v>57.9499999999998</v>
      </c>
      <c r="AN3" s="15">
        <v>5516.04</v>
      </c>
      <c r="AO3" s="15">
        <f>AP3-AN3</f>
        <v>109.75</v>
      </c>
      <c r="AP3" s="15">
        <v>5625.79</v>
      </c>
      <c r="AQ3" s="15">
        <f>AR3-AP3</f>
        <v>115.03</v>
      </c>
      <c r="AR3" s="15">
        <v>5740.82</v>
      </c>
      <c r="AS3" s="15">
        <f>AT3-AR3</f>
        <v>75.2800000000007</v>
      </c>
      <c r="AT3" s="15">
        <v>5816.1</v>
      </c>
      <c r="AU3" s="20">
        <f>AV3-AT3</f>
        <v>77.1399999999994</v>
      </c>
      <c r="AV3" s="20">
        <v>5893.24</v>
      </c>
      <c r="AW3" s="26">
        <f>AX3-AV3</f>
        <v>91.6100000000006</v>
      </c>
      <c r="AX3" s="26">
        <v>5984.85</v>
      </c>
      <c r="AY3" s="26">
        <f>AZ3-AX3</f>
        <v>201.849999999999</v>
      </c>
      <c r="AZ3" s="26">
        <v>6186.7</v>
      </c>
      <c r="BA3" s="26">
        <f>BB3-AZ3</f>
        <v>31.5299999999997</v>
      </c>
      <c r="BB3" s="26">
        <v>6218.23</v>
      </c>
      <c r="BC3" s="26">
        <f>BD3-BB3</f>
        <v>2.65000000000055</v>
      </c>
      <c r="BD3" s="26">
        <v>6220.88</v>
      </c>
      <c r="BE3" s="20">
        <f>BF3-BD3</f>
        <v>127.07</v>
      </c>
      <c r="BF3" s="26">
        <v>6347.95</v>
      </c>
      <c r="BG3" s="26">
        <f>BH3-BF3</f>
        <v>130.78</v>
      </c>
      <c r="BH3" s="26">
        <v>6478.73</v>
      </c>
      <c r="BI3" s="26">
        <f>BJ3-BH3</f>
        <v>12.3600000000006</v>
      </c>
      <c r="BJ3" s="26">
        <v>6491.09</v>
      </c>
      <c r="BK3" s="26">
        <f>BL3-BJ3</f>
        <v>50.7299999999996</v>
      </c>
      <c r="BL3" s="26">
        <v>6541.82</v>
      </c>
      <c r="BM3" s="26">
        <f>BN3-BL3</f>
        <v>205.92</v>
      </c>
      <c r="BN3" s="26">
        <v>6747.74</v>
      </c>
      <c r="BO3" s="26">
        <f>BP3-BN3</f>
        <v>42.6900000000005</v>
      </c>
      <c r="BP3" s="26">
        <v>6790.43</v>
      </c>
      <c r="BQ3" s="26">
        <f>BR3-BP3</f>
        <v>61.9099999999999</v>
      </c>
      <c r="BR3" s="26">
        <v>6852.34</v>
      </c>
      <c r="BS3" s="26">
        <f>BT3-BR3</f>
        <v>21.1099999999997</v>
      </c>
      <c r="BT3" s="26">
        <v>6873.45</v>
      </c>
      <c r="BU3" s="26">
        <f>BV3-BT3</f>
        <v>59.8800000000001</v>
      </c>
      <c r="BV3" s="26">
        <v>6933.33</v>
      </c>
      <c r="BW3" s="26">
        <f>BX3-BV3</f>
        <v>77.5200000000004</v>
      </c>
      <c r="BX3" s="26">
        <v>7010.85</v>
      </c>
      <c r="BY3" s="26">
        <f>BZ3-BX3</f>
        <v>66.8599999999997</v>
      </c>
      <c r="BZ3" s="26">
        <v>7077.71</v>
      </c>
      <c r="CA3" s="26">
        <f>CB3-BZ3</f>
        <v>224.3</v>
      </c>
      <c r="CB3" s="26">
        <v>7302.01</v>
      </c>
      <c r="CC3" s="26">
        <f>CD3-CB3</f>
        <v>113.7</v>
      </c>
      <c r="CD3" s="26">
        <v>7415.71</v>
      </c>
      <c r="CE3" s="26">
        <f>CF3-CD3</f>
        <v>82</v>
      </c>
      <c r="CF3" s="26">
        <v>7497.71</v>
      </c>
      <c r="CG3" s="26">
        <f>CH3-CF3</f>
        <v>140.01</v>
      </c>
      <c r="CH3" s="26">
        <v>7637.72</v>
      </c>
      <c r="CI3" s="26">
        <f>CJ3-CH3</f>
        <v>176.7</v>
      </c>
      <c r="CJ3" s="26">
        <v>7814.42</v>
      </c>
      <c r="CK3" s="26">
        <f>CL3-CJ3</f>
        <v>82.8199999999997</v>
      </c>
      <c r="CL3" s="26">
        <v>7897.24</v>
      </c>
      <c r="CM3" s="26">
        <f>CN3-CL3</f>
        <v>184.17</v>
      </c>
      <c r="CN3" s="26">
        <v>8081.41</v>
      </c>
      <c r="CO3" s="26">
        <f>CP3-CN3</f>
        <v>119.860000000001</v>
      </c>
      <c r="CP3" s="26">
        <v>8201.27</v>
      </c>
      <c r="CQ3" s="20" t="s">
        <v>67</v>
      </c>
      <c r="CR3" s="15">
        <v>2303.27</v>
      </c>
      <c r="CS3" s="15" t="s">
        <v>68</v>
      </c>
      <c r="CT3" s="15">
        <v>1267.77</v>
      </c>
      <c r="CU3" s="7">
        <v>400</v>
      </c>
      <c r="CV3" s="7">
        <v>1.2</v>
      </c>
      <c r="CW3" s="7">
        <v>186759</v>
      </c>
      <c r="CX3" s="15">
        <f>2.527678/(CP3/CR3)</f>
        <v>0.709880897356141</v>
      </c>
      <c r="CY3" s="15">
        <f>BP3-D3</f>
        <v>2684.95</v>
      </c>
    </row>
    <row r="4" spans="1:103">
      <c r="A4" s="7" t="s">
        <v>60</v>
      </c>
      <c r="B4" s="7" t="s">
        <v>69</v>
      </c>
      <c r="C4" s="7" t="s">
        <v>70</v>
      </c>
      <c r="D4" s="7">
        <v>1350.52</v>
      </c>
      <c r="E4" s="7">
        <f>F4-D4</f>
        <v>52.6800000000001</v>
      </c>
      <c r="F4" s="7">
        <v>1403.2</v>
      </c>
      <c r="G4" s="7">
        <f>H4-F4</f>
        <v>55.3199999999999</v>
      </c>
      <c r="H4" s="7">
        <v>1458.52</v>
      </c>
      <c r="I4" s="7">
        <f>J4-H4</f>
        <v>32.6800000000001</v>
      </c>
      <c r="J4" s="7">
        <v>1491.2</v>
      </c>
      <c r="K4" s="7">
        <f>L4-J4</f>
        <v>54.96</v>
      </c>
      <c r="L4" s="7">
        <v>1546.16</v>
      </c>
      <c r="M4" s="7">
        <f>N4-L4</f>
        <v>92.1299999999999</v>
      </c>
      <c r="N4" s="7">
        <v>1638.29</v>
      </c>
      <c r="O4" s="7">
        <f>P4-N4</f>
        <v>59.4400000000001</v>
      </c>
      <c r="P4" s="7">
        <v>1697.73</v>
      </c>
      <c r="Q4" s="7">
        <f>R4-P4</f>
        <v>71.3399999999999</v>
      </c>
      <c r="R4" s="7">
        <v>1769.07</v>
      </c>
      <c r="S4" s="7">
        <f>T4-R4</f>
        <v>62.9000000000001</v>
      </c>
      <c r="T4" s="7">
        <v>1831.97</v>
      </c>
      <c r="U4" s="7">
        <f>V4-T4</f>
        <v>66.5899999999999</v>
      </c>
      <c r="V4" s="10">
        <v>1898.56</v>
      </c>
      <c r="W4" s="7">
        <f>X4-V4</f>
        <v>48.77</v>
      </c>
      <c r="X4" s="10">
        <v>1947.33</v>
      </c>
      <c r="Y4" s="7">
        <f>Z4-X4</f>
        <v>59.47</v>
      </c>
      <c r="Z4" s="7">
        <v>2006.8</v>
      </c>
      <c r="AA4" s="7">
        <f>AB4-Z4</f>
        <v>82.3900000000001</v>
      </c>
      <c r="AB4" s="7">
        <v>2089.19</v>
      </c>
      <c r="AC4" s="7">
        <f>AD4-AB4</f>
        <v>98.8200000000002</v>
      </c>
      <c r="AD4" s="7">
        <v>2188.01</v>
      </c>
      <c r="AE4" s="15">
        <f>AF4-AD4</f>
        <v>16.2299999999996</v>
      </c>
      <c r="AF4" s="15">
        <v>2204.24</v>
      </c>
      <c r="AG4" s="15">
        <f>AH4-AF4</f>
        <v>95.3900000000003</v>
      </c>
      <c r="AH4" s="15">
        <v>2299.63</v>
      </c>
      <c r="AI4" s="15">
        <f>AJ4-AH4</f>
        <v>60.0299999999997</v>
      </c>
      <c r="AJ4" s="15">
        <v>2359.66</v>
      </c>
      <c r="AK4" s="15">
        <f>AL4-AJ4</f>
        <v>45.3800000000001</v>
      </c>
      <c r="AL4" s="15">
        <v>2405.04</v>
      </c>
      <c r="AM4" s="15">
        <f>AN4-AL4</f>
        <v>44.75</v>
      </c>
      <c r="AN4" s="15">
        <v>2449.79</v>
      </c>
      <c r="AO4" s="15">
        <f>AP4-AN4</f>
        <v>67.21</v>
      </c>
      <c r="AP4" s="15">
        <v>2517</v>
      </c>
      <c r="AQ4" s="15">
        <f>AR4-AP4</f>
        <v>77.1799999999998</v>
      </c>
      <c r="AR4" s="15">
        <v>2594.18</v>
      </c>
      <c r="AS4" s="15">
        <f>AT4-AR4</f>
        <v>66.6600000000003</v>
      </c>
      <c r="AT4" s="15">
        <v>2660.84</v>
      </c>
      <c r="AU4" s="20">
        <f>AV4-AT4</f>
        <v>56.3799999999997</v>
      </c>
      <c r="AV4" s="20">
        <v>2717.22</v>
      </c>
      <c r="AW4" s="26">
        <f>AX4-AV4</f>
        <v>98.5600000000004</v>
      </c>
      <c r="AX4" s="26">
        <v>2815.78</v>
      </c>
      <c r="AY4" s="26">
        <f>AZ4-AX4</f>
        <v>69.3599999999997</v>
      </c>
      <c r="AZ4" s="26">
        <v>2885.14</v>
      </c>
      <c r="BA4" s="26">
        <f>BB4-AZ4</f>
        <v>51.7000000000003</v>
      </c>
      <c r="BB4" s="26">
        <v>2936.84</v>
      </c>
      <c r="BC4" s="26">
        <f>BD4-BB4</f>
        <v>48.27</v>
      </c>
      <c r="BD4" s="26">
        <v>2985.11</v>
      </c>
      <c r="BE4" s="20">
        <f>BF4-BD4</f>
        <v>116.59</v>
      </c>
      <c r="BF4" s="26">
        <v>3101.7</v>
      </c>
      <c r="BG4" s="26">
        <f>BH4-BF4</f>
        <v>105.88</v>
      </c>
      <c r="BH4" s="26">
        <v>3207.58</v>
      </c>
      <c r="BI4" s="26">
        <f>BJ4-BH4</f>
        <v>53.5500000000002</v>
      </c>
      <c r="BJ4" s="26">
        <v>3261.13</v>
      </c>
      <c r="BK4" s="26">
        <f>BL4-BJ4</f>
        <v>69.3499999999999</v>
      </c>
      <c r="BL4" s="26">
        <v>3330.48</v>
      </c>
      <c r="BM4" s="26">
        <f>BN4-BL4</f>
        <v>51.21</v>
      </c>
      <c r="BN4" s="26">
        <v>3381.69</v>
      </c>
      <c r="BO4" s="26">
        <f>BP4-BN4</f>
        <v>73.3899999999999</v>
      </c>
      <c r="BP4" s="26">
        <v>3455.08</v>
      </c>
      <c r="BQ4" s="26">
        <f>BR4-BP4</f>
        <v>51.1500000000001</v>
      </c>
      <c r="BR4" s="26">
        <v>3506.23</v>
      </c>
      <c r="BS4" s="26">
        <f>BT4-BR4</f>
        <v>65.75</v>
      </c>
      <c r="BT4" s="26">
        <v>3571.98</v>
      </c>
      <c r="BU4" s="26">
        <f>BV4-BT4</f>
        <v>48.3299999999999</v>
      </c>
      <c r="BV4" s="26">
        <v>3620.31</v>
      </c>
      <c r="BW4" s="26">
        <f>BX4-BV4</f>
        <v>53.7600000000002</v>
      </c>
      <c r="BX4" s="26">
        <v>3674.07</v>
      </c>
      <c r="BY4" s="26">
        <f>BZ4-BX4</f>
        <v>42.46</v>
      </c>
      <c r="BZ4" s="26">
        <v>3716.53</v>
      </c>
      <c r="CA4" s="26">
        <f>CB4-BZ4</f>
        <v>90.29</v>
      </c>
      <c r="CB4" s="26">
        <v>3806.82</v>
      </c>
      <c r="CC4" s="26">
        <f>CD4-CB4</f>
        <v>61.29</v>
      </c>
      <c r="CD4" s="26">
        <v>3868.11</v>
      </c>
      <c r="CE4" s="26">
        <f>CF4-CD4</f>
        <v>47.0999999999999</v>
      </c>
      <c r="CF4" s="26">
        <v>3915.21</v>
      </c>
      <c r="CG4" s="26">
        <f>CH4-CF4</f>
        <v>63.4200000000001</v>
      </c>
      <c r="CH4" s="26">
        <v>3978.63</v>
      </c>
      <c r="CI4" s="26">
        <f>CJ4-CH4</f>
        <v>59.52</v>
      </c>
      <c r="CJ4" s="26">
        <v>4038.15</v>
      </c>
      <c r="CK4" s="26">
        <f>CL4-CJ4</f>
        <v>36.5499999999997</v>
      </c>
      <c r="CL4" s="26">
        <v>4074.7</v>
      </c>
      <c r="CM4" s="26">
        <f>CN4-CL4</f>
        <v>28.1500000000005</v>
      </c>
      <c r="CN4" s="26">
        <v>4102.85</v>
      </c>
      <c r="CO4" s="26">
        <f>CP4-CN4</f>
        <v>106.41</v>
      </c>
      <c r="CP4" s="26">
        <v>4209.26</v>
      </c>
      <c r="CQ4" s="20" t="s">
        <v>71</v>
      </c>
      <c r="CR4" s="15">
        <v>1241.87</v>
      </c>
      <c r="CS4" s="17" t="s">
        <v>72</v>
      </c>
      <c r="CT4" s="17">
        <v>896.02</v>
      </c>
      <c r="CU4" s="1">
        <v>65</v>
      </c>
      <c r="CV4" s="1">
        <v>1.4</v>
      </c>
      <c r="CW4" s="1">
        <v>127603</v>
      </c>
      <c r="CX4" s="15">
        <f>2.527678/(CP4/CR4)</f>
        <v>0.745748059720711</v>
      </c>
      <c r="CY4" s="15">
        <f>BP4-D4</f>
        <v>2104.56</v>
      </c>
    </row>
    <row r="5" spans="1:103">
      <c r="A5" s="7" t="s">
        <v>73</v>
      </c>
      <c r="B5" s="7" t="s">
        <v>74</v>
      </c>
      <c r="C5" s="7" t="s">
        <v>70</v>
      </c>
      <c r="D5" s="7">
        <v>1735.94</v>
      </c>
      <c r="E5" s="7">
        <f>F5-D5</f>
        <v>48.5999999999999</v>
      </c>
      <c r="F5" s="7">
        <v>1784.54</v>
      </c>
      <c r="G5" s="7">
        <f>H5-F5</f>
        <v>74.1600000000001</v>
      </c>
      <c r="H5" s="7">
        <v>1858.7</v>
      </c>
      <c r="I5" s="7">
        <f>J5-H5</f>
        <v>65.55</v>
      </c>
      <c r="J5" s="7">
        <v>1924.25</v>
      </c>
      <c r="K5" s="7">
        <f>L5-J5</f>
        <v>35.73</v>
      </c>
      <c r="L5" s="7">
        <v>1959.98</v>
      </c>
      <c r="M5" s="7">
        <f>N5-L5</f>
        <v>41.8799999999999</v>
      </c>
      <c r="N5" s="7">
        <v>2001.86</v>
      </c>
      <c r="O5" s="7">
        <f>P5-N5</f>
        <v>74.6600000000001</v>
      </c>
      <c r="P5" s="7">
        <v>2076.52</v>
      </c>
      <c r="Q5" s="7">
        <f>R5-P5</f>
        <v>48.71</v>
      </c>
      <c r="R5" s="7">
        <v>2125.23</v>
      </c>
      <c r="S5" s="7">
        <f>T5-R5</f>
        <v>57.4200000000001</v>
      </c>
      <c r="T5" s="7">
        <v>2182.65</v>
      </c>
      <c r="U5" s="7">
        <f>V5-T5</f>
        <v>68.9400000000001</v>
      </c>
      <c r="V5" s="10">
        <v>2251.59</v>
      </c>
      <c r="W5" s="7">
        <f>X5-V5</f>
        <v>72.0299999999997</v>
      </c>
      <c r="X5" s="10">
        <v>2323.62</v>
      </c>
      <c r="Y5" s="7">
        <f>Z5-X5</f>
        <v>23.6300000000001</v>
      </c>
      <c r="Z5" s="7">
        <v>2347.25</v>
      </c>
      <c r="AA5" s="7">
        <f>AB5-Z5</f>
        <v>64.5300000000002</v>
      </c>
      <c r="AB5" s="7">
        <v>2411.78</v>
      </c>
      <c r="AC5" s="7">
        <f>AD5-AB5</f>
        <v>30.2599999999998</v>
      </c>
      <c r="AD5" s="7">
        <v>2442.04</v>
      </c>
      <c r="AE5" s="15">
        <f>AF5-AD5</f>
        <v>104.94</v>
      </c>
      <c r="AF5" s="15">
        <v>2546.98</v>
      </c>
      <c r="AG5" s="15">
        <f>AH5-AF5</f>
        <v>38.04</v>
      </c>
      <c r="AH5" s="15">
        <v>2585.02</v>
      </c>
      <c r="AI5" s="15">
        <f>AJ5-AH5</f>
        <v>96.6999999999998</v>
      </c>
      <c r="AJ5" s="15">
        <v>2681.72</v>
      </c>
      <c r="AK5" s="15">
        <f>AL5-AJ5</f>
        <v>66.25</v>
      </c>
      <c r="AL5" s="15">
        <v>2747.97</v>
      </c>
      <c r="AM5" s="15">
        <f>AN5-AL5</f>
        <v>75.9900000000002</v>
      </c>
      <c r="AN5" s="15">
        <v>2823.96</v>
      </c>
      <c r="AO5" s="15">
        <f>AP5-AN5</f>
        <v>50.5</v>
      </c>
      <c r="AP5" s="15">
        <v>2874.46</v>
      </c>
      <c r="AQ5" s="15">
        <f>AR5-AP5</f>
        <v>48.75</v>
      </c>
      <c r="AR5" s="15">
        <v>2923.21</v>
      </c>
      <c r="AS5" s="15">
        <f>AT5-AR5</f>
        <v>48.6399999999999</v>
      </c>
      <c r="AT5" s="15">
        <v>2971.85</v>
      </c>
      <c r="AU5" s="20">
        <f>AV5-AT5</f>
        <v>75.46</v>
      </c>
      <c r="AV5" s="20">
        <v>3047.31</v>
      </c>
      <c r="AW5" s="26">
        <f>AX5-AV5</f>
        <v>81.1599999999999</v>
      </c>
      <c r="AX5" s="26">
        <v>3128.47</v>
      </c>
      <c r="AY5" s="26">
        <f>AZ5-AX5</f>
        <v>52.8700000000003</v>
      </c>
      <c r="AZ5" s="26">
        <v>3181.34</v>
      </c>
      <c r="BA5" s="26">
        <f>BB5-AZ5</f>
        <v>65.5899999999997</v>
      </c>
      <c r="BB5" s="26">
        <v>3246.93</v>
      </c>
      <c r="BC5" s="26">
        <f>BD5-BB5</f>
        <v>50.3800000000001</v>
      </c>
      <c r="BD5" s="26">
        <v>3297.31</v>
      </c>
      <c r="BE5" s="20">
        <f>BF5-BD5</f>
        <v>85.7800000000002</v>
      </c>
      <c r="BF5" s="26">
        <v>3383.09</v>
      </c>
      <c r="BG5" s="26">
        <f>BH5-BF5</f>
        <v>41.6399999999999</v>
      </c>
      <c r="BH5" s="26">
        <v>3424.73</v>
      </c>
      <c r="BI5" s="26">
        <f>BJ5-BH5</f>
        <v>54.73</v>
      </c>
      <c r="BJ5" s="26">
        <v>3479.46</v>
      </c>
      <c r="BK5" s="26">
        <f>BL5-BJ5</f>
        <v>94.9299999999998</v>
      </c>
      <c r="BL5" s="26">
        <v>3574.39</v>
      </c>
      <c r="BM5" s="26">
        <f>BN5-BL5</f>
        <v>44.52</v>
      </c>
      <c r="BN5" s="26">
        <v>3618.91</v>
      </c>
      <c r="BO5" s="26">
        <f>BP5-BN5</f>
        <v>61.5500000000002</v>
      </c>
      <c r="BP5" s="26">
        <v>3680.46</v>
      </c>
      <c r="BQ5" s="26">
        <f>BR5-BP5</f>
        <v>71.6100000000001</v>
      </c>
      <c r="BR5" s="26">
        <v>3752.07</v>
      </c>
      <c r="BS5" s="26">
        <f>BT5-BR5</f>
        <v>90.6699999999996</v>
      </c>
      <c r="BT5" s="26">
        <v>3842.74</v>
      </c>
      <c r="BU5" s="26">
        <f>BV5-BT5</f>
        <v>-22.04</v>
      </c>
      <c r="BV5" s="26">
        <v>3820.7</v>
      </c>
      <c r="BW5" s="26">
        <f>BX5-BV5</f>
        <v>108.59</v>
      </c>
      <c r="BX5" s="26">
        <v>3929.29</v>
      </c>
      <c r="BY5" s="26">
        <f>BZ5-BX5</f>
        <v>39.0799999999999</v>
      </c>
      <c r="BZ5" s="26">
        <v>3968.37</v>
      </c>
      <c r="CA5" s="26">
        <f>CB5-BZ5</f>
        <v>78.1700000000001</v>
      </c>
      <c r="CB5" s="26">
        <v>4046.54</v>
      </c>
      <c r="CC5" s="26">
        <f>CD5-CB5</f>
        <v>77.5200000000004</v>
      </c>
      <c r="CD5" s="26">
        <v>4124.06</v>
      </c>
      <c r="CE5" s="26">
        <f>CF5-CD5</f>
        <v>57.21</v>
      </c>
      <c r="CF5" s="26">
        <v>4181.27</v>
      </c>
      <c r="CG5" s="26">
        <f>CH5-CF5</f>
        <v>110.4</v>
      </c>
      <c r="CH5" s="26">
        <v>4291.67</v>
      </c>
      <c r="CI5" s="26">
        <f>CJ5-CH5</f>
        <v>40.1199999999999</v>
      </c>
      <c r="CJ5" s="26">
        <v>4331.79</v>
      </c>
      <c r="CK5" s="26">
        <f>CL5-CJ5</f>
        <v>63.8900000000003</v>
      </c>
      <c r="CL5" s="26">
        <v>4395.68</v>
      </c>
      <c r="CM5" s="26">
        <f>CN5-CL5</f>
        <v>23.2699999999995</v>
      </c>
      <c r="CN5" s="26">
        <v>4418.95</v>
      </c>
      <c r="CO5" s="26">
        <f>CP5-CN5</f>
        <v>78.54</v>
      </c>
      <c r="CP5" s="26">
        <v>4497.49</v>
      </c>
      <c r="CQ5" s="20" t="s">
        <v>75</v>
      </c>
      <c r="CR5" s="15">
        <v>1143.92</v>
      </c>
      <c r="CS5" s="31" t="s">
        <v>76</v>
      </c>
      <c r="CT5" s="31">
        <v>824.67</v>
      </c>
      <c r="CU5" s="32">
        <v>80</v>
      </c>
      <c r="CV5" s="32">
        <v>7.2</v>
      </c>
      <c r="CW5" s="32">
        <v>150192</v>
      </c>
      <c r="CX5" s="15">
        <f>2.527678/(CP5/CR5)</f>
        <v>0.642905580170273</v>
      </c>
      <c r="CY5" s="15">
        <f>BP5-D5</f>
        <v>1944.52</v>
      </c>
    </row>
    <row r="6" spans="1:103">
      <c r="A6" s="7" t="s">
        <v>77</v>
      </c>
      <c r="B6" s="7" t="s">
        <v>78</v>
      </c>
      <c r="C6" s="7" t="s">
        <v>79</v>
      </c>
      <c r="D6" s="7">
        <v>1754.54</v>
      </c>
      <c r="E6" s="7">
        <f>F6-D6</f>
        <v>53.3700000000001</v>
      </c>
      <c r="F6" s="7">
        <v>1807.91</v>
      </c>
      <c r="G6" s="7">
        <f>H6-F6</f>
        <v>90.24</v>
      </c>
      <c r="H6" s="7">
        <v>1898.15</v>
      </c>
      <c r="I6" s="7">
        <f>J6-H6</f>
        <v>90.3799999999999</v>
      </c>
      <c r="J6" s="7">
        <v>1988.53</v>
      </c>
      <c r="K6" s="7">
        <f>L6-J6</f>
        <v>59.7099999999998</v>
      </c>
      <c r="L6" s="7">
        <v>2048.24</v>
      </c>
      <c r="M6" s="7">
        <f>N6-L6</f>
        <v>153.99</v>
      </c>
      <c r="N6" s="7">
        <v>2202.23</v>
      </c>
      <c r="O6" s="7">
        <f>P6-N6</f>
        <v>64.21</v>
      </c>
      <c r="P6" s="7">
        <v>2266.44</v>
      </c>
      <c r="Q6" s="7">
        <f>R6-P6</f>
        <v>47.5599999999999</v>
      </c>
      <c r="R6" s="7">
        <v>2314</v>
      </c>
      <c r="S6" s="7">
        <f>T6-R6</f>
        <v>59.6500000000001</v>
      </c>
      <c r="T6" s="7">
        <v>2373.65</v>
      </c>
      <c r="U6" s="7">
        <f>V6-T6</f>
        <v>70.6399999999999</v>
      </c>
      <c r="V6" s="10">
        <v>2444.29</v>
      </c>
      <c r="W6" s="7">
        <f>X6-V6</f>
        <v>95.9299999999998</v>
      </c>
      <c r="X6" s="10">
        <v>2540.22</v>
      </c>
      <c r="Y6" s="7">
        <f>Z6-X6</f>
        <v>90.3200000000002</v>
      </c>
      <c r="Z6" s="7">
        <v>2630.54</v>
      </c>
      <c r="AA6" s="7">
        <f>AB6-Z6</f>
        <v>69.7800000000002</v>
      </c>
      <c r="AB6" s="7">
        <v>2700.32</v>
      </c>
      <c r="AC6" s="7">
        <f>AD6-AB6</f>
        <v>57.52</v>
      </c>
      <c r="AD6" s="7">
        <v>2757.84</v>
      </c>
      <c r="AE6" s="15">
        <f>AF6-AD6</f>
        <v>217.06</v>
      </c>
      <c r="AF6" s="15">
        <v>2974.9</v>
      </c>
      <c r="AG6" s="15">
        <f>AH6-AF6</f>
        <v>18.4400000000001</v>
      </c>
      <c r="AH6" s="15">
        <v>2993.34</v>
      </c>
      <c r="AI6" s="15">
        <f>AJ6-AH6</f>
        <v>38.29</v>
      </c>
      <c r="AJ6" s="15">
        <v>3031.63</v>
      </c>
      <c r="AK6" s="15">
        <f>AL6-AJ6</f>
        <v>71.1199999999999</v>
      </c>
      <c r="AL6" s="15">
        <v>3102.75</v>
      </c>
      <c r="AM6" s="15">
        <f>AN6-AL6</f>
        <v>69.4400000000001</v>
      </c>
      <c r="AN6" s="15">
        <v>3172.19</v>
      </c>
      <c r="AO6" s="15">
        <f>AP6-AN6</f>
        <v>69.0799999999999</v>
      </c>
      <c r="AP6" s="15">
        <v>3241.27</v>
      </c>
      <c r="AQ6" s="15">
        <f>AR6-AP6</f>
        <v>24.2199999999998</v>
      </c>
      <c r="AR6" s="15">
        <v>3265.49</v>
      </c>
      <c r="AS6" s="15">
        <f>AT6-AR6</f>
        <v>38.8000000000002</v>
      </c>
      <c r="AT6" s="15">
        <v>3304.29</v>
      </c>
      <c r="AU6" s="20">
        <f>AV6-AT6</f>
        <v>84.8800000000001</v>
      </c>
      <c r="AV6" s="20">
        <v>3389.17</v>
      </c>
      <c r="AW6" s="26">
        <f>AX6-AV6</f>
        <v>63.1199999999999</v>
      </c>
      <c r="AX6" s="26">
        <v>3452.29</v>
      </c>
      <c r="AY6" s="26">
        <f>AZ6-AX6</f>
        <v>-0.860000000000127</v>
      </c>
      <c r="AZ6" s="26">
        <v>3451.43</v>
      </c>
      <c r="BA6" s="26">
        <f>BB6-AZ6</f>
        <v>48.96</v>
      </c>
      <c r="BB6" s="26">
        <v>3500.39</v>
      </c>
      <c r="BC6" s="26">
        <f>BD6-BB6</f>
        <v>54.3800000000001</v>
      </c>
      <c r="BD6" s="26">
        <v>3554.77</v>
      </c>
      <c r="BE6" s="20">
        <f>BF6-BD6</f>
        <v>92.1300000000001</v>
      </c>
      <c r="BF6" s="26">
        <v>3646.9</v>
      </c>
      <c r="BG6" s="26">
        <f>BH6-BF6</f>
        <v>120.14</v>
      </c>
      <c r="BH6" s="26">
        <v>3767.04</v>
      </c>
      <c r="BI6" s="26">
        <f>BJ6-BH6</f>
        <v>36.4200000000001</v>
      </c>
      <c r="BJ6" s="26">
        <v>3803.46</v>
      </c>
      <c r="BK6" s="26">
        <f>BL6-BJ6</f>
        <v>87.1700000000001</v>
      </c>
      <c r="BL6" s="26">
        <v>3890.63</v>
      </c>
      <c r="BM6" s="26">
        <f>BN6-BL6</f>
        <v>20.7599999999998</v>
      </c>
      <c r="BN6" s="26">
        <v>3911.39</v>
      </c>
      <c r="BO6" s="26">
        <f>BP6-BN6</f>
        <v>110.8</v>
      </c>
      <c r="BP6" s="26">
        <v>4022.19</v>
      </c>
      <c r="BQ6" s="26">
        <f>BR6-BP6</f>
        <v>37.6399999999999</v>
      </c>
      <c r="BR6" s="26">
        <v>4059.83</v>
      </c>
      <c r="BS6" s="26">
        <f>BT6-BR6</f>
        <v>70.5100000000002</v>
      </c>
      <c r="BT6" s="26">
        <v>4130.34</v>
      </c>
      <c r="BU6" s="26">
        <f>BV6-BT6</f>
        <v>59.71</v>
      </c>
      <c r="BV6" s="26">
        <v>4190.05</v>
      </c>
      <c r="BW6" s="26">
        <f>BX6-BV6</f>
        <v>140.139999999999</v>
      </c>
      <c r="BX6" s="26">
        <v>4330.19</v>
      </c>
      <c r="BY6" s="26">
        <f>BZ6-BX6</f>
        <v>49.6600000000008</v>
      </c>
      <c r="BZ6" s="26">
        <v>4379.85</v>
      </c>
      <c r="CA6" s="26">
        <f>CB6-BZ6</f>
        <v>31.3499999999995</v>
      </c>
      <c r="CB6" s="26">
        <v>4411.2</v>
      </c>
      <c r="CC6" s="26">
        <f>CD6-CB6</f>
        <v>75.0799999999999</v>
      </c>
      <c r="CD6" s="26">
        <v>4486.28</v>
      </c>
      <c r="CE6" s="26">
        <f>CF6-CD6</f>
        <v>156.8</v>
      </c>
      <c r="CF6" s="26">
        <v>4643.08</v>
      </c>
      <c r="CG6" s="26">
        <f>CH6-CF6</f>
        <v>88.8100000000004</v>
      </c>
      <c r="CH6" s="26">
        <v>4731.89</v>
      </c>
      <c r="CI6" s="26">
        <f>CJ6-CH6</f>
        <v>51.8199999999997</v>
      </c>
      <c r="CJ6" s="26">
        <v>4783.71</v>
      </c>
      <c r="CK6" s="26">
        <f>CL6-CJ6</f>
        <v>65.3900000000003</v>
      </c>
      <c r="CL6" s="26">
        <v>4849.1</v>
      </c>
      <c r="CM6" s="26">
        <f>CN6-CL6</f>
        <v>42.4499999999998</v>
      </c>
      <c r="CN6" s="26">
        <v>4891.55</v>
      </c>
      <c r="CO6" s="26">
        <f>CP6-CN6</f>
        <v>73.1199999999999</v>
      </c>
      <c r="CP6" s="26">
        <v>4964.67</v>
      </c>
      <c r="CQ6" s="20" t="s">
        <v>80</v>
      </c>
      <c r="CR6" s="15">
        <v>1055.82</v>
      </c>
      <c r="CS6" s="15" t="s">
        <v>81</v>
      </c>
      <c r="CT6" s="15">
        <v>686.88</v>
      </c>
      <c r="CU6" s="7">
        <v>300</v>
      </c>
      <c r="CV6" s="7">
        <v>2.2</v>
      </c>
      <c r="CW6" s="7">
        <v>132783</v>
      </c>
      <c r="CX6" s="15">
        <f>2.527678/(CP6/CR6)</f>
        <v>0.537552946310631</v>
      </c>
      <c r="CY6" s="15">
        <f>BP6-D6</f>
        <v>2267.65</v>
      </c>
    </row>
    <row r="7" spans="1:103">
      <c r="A7" s="7" t="s">
        <v>77</v>
      </c>
      <c r="B7" s="7" t="s">
        <v>82</v>
      </c>
      <c r="C7" s="7" t="s">
        <v>83</v>
      </c>
      <c r="D7" s="7">
        <v>1726.42</v>
      </c>
      <c r="E7" s="7">
        <f>F7-D7</f>
        <v>56.28</v>
      </c>
      <c r="F7" s="7">
        <v>1782.7</v>
      </c>
      <c r="G7" s="7">
        <f>H7-F7</f>
        <v>70.9199999999998</v>
      </c>
      <c r="H7" s="7">
        <v>1853.62</v>
      </c>
      <c r="I7" s="7">
        <f>J7-H7</f>
        <v>49.5800000000002</v>
      </c>
      <c r="J7" s="7">
        <v>1903.2</v>
      </c>
      <c r="K7" s="7">
        <f>L7-J7</f>
        <v>40.4099999999999</v>
      </c>
      <c r="L7" s="7">
        <v>1943.61</v>
      </c>
      <c r="M7" s="7">
        <f>N7-L7</f>
        <v>30.01</v>
      </c>
      <c r="N7" s="7">
        <v>1973.62</v>
      </c>
      <c r="O7" s="7">
        <f>P7-N7</f>
        <v>83.2800000000002</v>
      </c>
      <c r="P7" s="7">
        <v>2056.9</v>
      </c>
      <c r="Q7" s="7">
        <f>R7-P7</f>
        <v>25.6399999999999</v>
      </c>
      <c r="R7" s="7">
        <v>2082.54</v>
      </c>
      <c r="S7" s="7">
        <f>T7-R7</f>
        <v>66.46</v>
      </c>
      <c r="T7" s="7">
        <v>2149</v>
      </c>
      <c r="U7" s="7">
        <f>V7-T7</f>
        <v>43.5599999999999</v>
      </c>
      <c r="V7" s="10">
        <v>2192.56</v>
      </c>
      <c r="W7" s="7">
        <f>X7-V7</f>
        <v>46.3200000000002</v>
      </c>
      <c r="X7" s="10">
        <v>2238.88</v>
      </c>
      <c r="Y7" s="7">
        <f>Z7-X7</f>
        <v>17.23</v>
      </c>
      <c r="Z7" s="7">
        <v>2256.11</v>
      </c>
      <c r="AA7" s="7">
        <f>AB7-Z7</f>
        <v>97.5799999999999</v>
      </c>
      <c r="AB7" s="7">
        <v>2353.69</v>
      </c>
      <c r="AC7" s="7">
        <f>AD7-AB7</f>
        <v>58.8600000000001</v>
      </c>
      <c r="AD7" s="7">
        <v>2412.55</v>
      </c>
      <c r="AE7" s="15">
        <f>AF7-AD7</f>
        <v>33.52</v>
      </c>
      <c r="AF7" s="15">
        <v>2446.07</v>
      </c>
      <c r="AG7" s="15">
        <f>AH7-AF7</f>
        <v>77.4199999999996</v>
      </c>
      <c r="AH7" s="15">
        <v>2523.49</v>
      </c>
      <c r="AI7" s="15">
        <f>AJ7-AH7</f>
        <v>44.5500000000002</v>
      </c>
      <c r="AJ7" s="15">
        <v>2568.04</v>
      </c>
      <c r="AK7" s="15">
        <f>AL7-AJ7</f>
        <v>60.6700000000001</v>
      </c>
      <c r="AL7" s="15">
        <v>2628.71</v>
      </c>
      <c r="AM7" s="15">
        <f>AN7-AL7</f>
        <v>38.8600000000001</v>
      </c>
      <c r="AN7" s="15">
        <v>2667.57</v>
      </c>
      <c r="AO7" s="15">
        <f>AP7-AN7</f>
        <v>40.96</v>
      </c>
      <c r="AP7" s="15">
        <v>2708.53</v>
      </c>
      <c r="AQ7" s="15">
        <f>AR7-AP7</f>
        <v>53.2099999999996</v>
      </c>
      <c r="AR7" s="15">
        <v>2761.74</v>
      </c>
      <c r="AS7" s="15">
        <f>AT7-AR7</f>
        <v>44</v>
      </c>
      <c r="AT7" s="15">
        <v>2805.74</v>
      </c>
      <c r="AU7" s="20">
        <f>AV7-AT7</f>
        <v>57.5</v>
      </c>
      <c r="AV7" s="20">
        <v>2863.24</v>
      </c>
      <c r="AW7" s="26">
        <f>AX7-AV7</f>
        <v>54.4300000000003</v>
      </c>
      <c r="AX7" s="26">
        <v>2917.67</v>
      </c>
      <c r="AY7" s="26">
        <f>AZ7-AX7</f>
        <v>56.3800000000001</v>
      </c>
      <c r="AZ7" s="26">
        <v>2974.05</v>
      </c>
      <c r="BA7" s="26">
        <f>BB7-AZ7</f>
        <v>41.4399999999996</v>
      </c>
      <c r="BB7" s="26">
        <v>3015.49</v>
      </c>
      <c r="BC7" s="26">
        <f>BD7-BB7</f>
        <v>42.1400000000003</v>
      </c>
      <c r="BD7" s="26">
        <v>3057.63</v>
      </c>
      <c r="BE7" s="20">
        <f>BF7-BD7</f>
        <v>43.9899999999998</v>
      </c>
      <c r="BF7" s="26">
        <v>3101.62</v>
      </c>
      <c r="BG7" s="26">
        <f>BH7-BF7</f>
        <v>105.04</v>
      </c>
      <c r="BH7" s="26">
        <v>3206.66</v>
      </c>
      <c r="BI7" s="26">
        <f>BJ7-BH7</f>
        <v>38.7800000000002</v>
      </c>
      <c r="BJ7" s="26">
        <v>3245.44</v>
      </c>
      <c r="BK7" s="26">
        <f>BL7-BJ7</f>
        <v>30.5099999999998</v>
      </c>
      <c r="BL7" s="26">
        <v>3275.95</v>
      </c>
      <c r="BM7" s="26">
        <f>BN7-BL7</f>
        <v>44.8600000000001</v>
      </c>
      <c r="BN7" s="26">
        <v>3320.81</v>
      </c>
      <c r="BO7" s="26">
        <f>BP7-BN7</f>
        <v>59.8400000000001</v>
      </c>
      <c r="BP7" s="26">
        <v>3380.65</v>
      </c>
      <c r="BQ7" s="26">
        <f>BR7-BP7</f>
        <v>24.6300000000001</v>
      </c>
      <c r="BR7" s="26">
        <v>3405.28</v>
      </c>
      <c r="BS7" s="26">
        <f>BT7-BR7</f>
        <v>93.3399999999997</v>
      </c>
      <c r="BT7" s="26">
        <v>3498.62</v>
      </c>
      <c r="BU7" s="26">
        <f>BV7-BT7</f>
        <v>36.1300000000001</v>
      </c>
      <c r="BV7" s="26">
        <v>3534.75</v>
      </c>
      <c r="BW7" s="26">
        <f>BX7-BV7</f>
        <v>76.7600000000002</v>
      </c>
      <c r="BX7" s="26">
        <v>3611.51</v>
      </c>
      <c r="BY7" s="26">
        <f>BZ7-BX7</f>
        <v>39.77</v>
      </c>
      <c r="BZ7" s="26">
        <v>3651.28</v>
      </c>
      <c r="CA7" s="26">
        <f>CB7-BZ7</f>
        <v>37.25</v>
      </c>
      <c r="CB7" s="26">
        <v>3688.53</v>
      </c>
      <c r="CC7" s="26">
        <f>CD7-CB7</f>
        <v>79.0899999999997</v>
      </c>
      <c r="CD7" s="26">
        <v>3767.62</v>
      </c>
      <c r="CE7" s="26">
        <f>CF7-CD7</f>
        <v>46.3600000000001</v>
      </c>
      <c r="CF7" s="26">
        <v>3813.98</v>
      </c>
      <c r="CG7" s="26">
        <f>CH7-CF7</f>
        <v>88.1300000000001</v>
      </c>
      <c r="CH7" s="26">
        <v>3902.11</v>
      </c>
      <c r="CI7" s="26">
        <f>CJ7-CH7</f>
        <v>53.0799999999999</v>
      </c>
      <c r="CJ7" s="26">
        <v>3955.19</v>
      </c>
      <c r="CK7" s="26">
        <f>CL7-CJ7</f>
        <v>53.9200000000001</v>
      </c>
      <c r="CL7" s="26">
        <v>4009.11</v>
      </c>
      <c r="CM7" s="26">
        <f>CN7-CL7</f>
        <v>50.3099999999999</v>
      </c>
      <c r="CN7" s="26">
        <v>4059.42</v>
      </c>
      <c r="CO7" s="26">
        <f>CP7-CN7</f>
        <v>66.9799999999996</v>
      </c>
      <c r="CP7" s="26">
        <v>4126.4</v>
      </c>
      <c r="CQ7" s="20" t="s">
        <v>71</v>
      </c>
      <c r="CR7" s="15">
        <v>1190.67</v>
      </c>
      <c r="CS7" s="17" t="s">
        <v>72</v>
      </c>
      <c r="CT7" s="17">
        <v>754.67</v>
      </c>
      <c r="CU7" s="1">
        <v>50</v>
      </c>
      <c r="CV7" s="1">
        <v>1.3</v>
      </c>
      <c r="CW7" s="1">
        <v>124763</v>
      </c>
      <c r="CX7" s="15">
        <f>2.527678/(CP7/CR7)</f>
        <v>0.729359820729934</v>
      </c>
      <c r="CY7" s="15">
        <f>BP7-D7</f>
        <v>1654.23</v>
      </c>
    </row>
    <row r="8" spans="1:103">
      <c r="A8" s="2" t="s">
        <v>60</v>
      </c>
      <c r="B8" s="2" t="s">
        <v>84</v>
      </c>
      <c r="C8" s="2" t="s">
        <v>83</v>
      </c>
      <c r="D8" s="2">
        <v>907.94</v>
      </c>
      <c r="E8" s="2">
        <f>F8-D8</f>
        <v>64.0799999999999</v>
      </c>
      <c r="F8" s="2">
        <v>972.02</v>
      </c>
      <c r="G8" s="2">
        <f>H8-F8</f>
        <v>36.26</v>
      </c>
      <c r="H8" s="2">
        <v>1008.28</v>
      </c>
      <c r="I8" s="2">
        <f>J8-H8</f>
        <v>28.8</v>
      </c>
      <c r="J8" s="2">
        <v>1037.08</v>
      </c>
      <c r="K8" s="2">
        <f>L8-J8</f>
        <v>40.1000000000001</v>
      </c>
      <c r="L8" s="2">
        <v>1077.18</v>
      </c>
      <c r="M8" s="2">
        <f>N8-L8</f>
        <v>26.03</v>
      </c>
      <c r="N8" s="2">
        <v>1103.21</v>
      </c>
      <c r="O8" s="2">
        <f>P8-N8</f>
        <v>28.3499999999999</v>
      </c>
      <c r="P8" s="2">
        <v>1131.56</v>
      </c>
      <c r="Q8" s="2">
        <f>R8-P8</f>
        <v>50.1900000000001</v>
      </c>
      <c r="R8" s="2">
        <v>1181.75</v>
      </c>
      <c r="S8" s="2">
        <f>T8-R8</f>
        <v>26.8699999999999</v>
      </c>
      <c r="T8" s="2">
        <v>1208.62</v>
      </c>
      <c r="U8" s="2">
        <f>V8-T8</f>
        <v>58.3000000000002</v>
      </c>
      <c r="V8" s="11">
        <v>1266.92</v>
      </c>
      <c r="W8" s="2">
        <f>X8-V8</f>
        <v>41.0599999999999</v>
      </c>
      <c r="X8" s="11">
        <v>1307.98</v>
      </c>
      <c r="Y8" s="2">
        <f>Z8-X8</f>
        <v>31.49</v>
      </c>
      <c r="Z8" s="2">
        <v>1339.47</v>
      </c>
      <c r="AA8" s="2">
        <f>AB8-Z8</f>
        <v>50.5899999999999</v>
      </c>
      <c r="AB8" s="2">
        <v>1390.06</v>
      </c>
      <c r="AC8" s="2">
        <f>AD8-AB8</f>
        <v>35.8099999999999</v>
      </c>
      <c r="AD8" s="2">
        <v>1425.87</v>
      </c>
      <c r="AE8" s="16">
        <f>AF8-AD8</f>
        <v>62.6300000000001</v>
      </c>
      <c r="AF8" s="16">
        <v>1488.5</v>
      </c>
      <c r="AG8" s="16">
        <f>AH8-AF8</f>
        <v>53.9200000000001</v>
      </c>
      <c r="AH8" s="16">
        <v>1542.42</v>
      </c>
      <c r="AI8" s="16">
        <f>AJ8-AH8</f>
        <v>39.5799999999999</v>
      </c>
      <c r="AJ8" s="16">
        <v>1582</v>
      </c>
      <c r="AK8" s="16">
        <f>AL8-AJ8</f>
        <v>33.3099999999999</v>
      </c>
      <c r="AL8" s="16">
        <v>1615.31</v>
      </c>
      <c r="AM8" s="16">
        <f>AN8-AL8</f>
        <v>20.8099999999999</v>
      </c>
      <c r="AN8" s="16">
        <v>1636.12</v>
      </c>
      <c r="AO8" s="16">
        <f>AP8-AN8</f>
        <v>55.9200000000001</v>
      </c>
      <c r="AP8" s="16">
        <v>1692.04</v>
      </c>
      <c r="AQ8" s="16">
        <f>AR8-AP8</f>
        <v>16.02</v>
      </c>
      <c r="AR8" s="16">
        <v>1708.06</v>
      </c>
      <c r="AS8" s="16">
        <f>AT8-AR8</f>
        <v>34.8300000000002</v>
      </c>
      <c r="AT8" s="16">
        <v>1742.89</v>
      </c>
      <c r="AU8" s="21">
        <f>AV8-AT8</f>
        <v>57.8399999999999</v>
      </c>
      <c r="AV8" s="21">
        <v>1800.73</v>
      </c>
      <c r="AW8" s="23">
        <f>AX8-AV8</f>
        <v>59.8799999999999</v>
      </c>
      <c r="AX8" s="23">
        <v>1860.61</v>
      </c>
      <c r="AY8" s="23">
        <f>AZ8-AX8</f>
        <v>61.5600000000002</v>
      </c>
      <c r="AZ8" s="23">
        <v>1922.17</v>
      </c>
      <c r="BA8" s="23">
        <f>BB8-AZ8</f>
        <v>52.5899999999999</v>
      </c>
      <c r="BB8" s="23">
        <v>1974.76</v>
      </c>
      <c r="BC8" s="23">
        <f>BD8-BB8</f>
        <v>32.25</v>
      </c>
      <c r="BD8" s="23">
        <v>2007.01</v>
      </c>
      <c r="BE8" s="21">
        <f>BF8-BD8</f>
        <v>39.1600000000001</v>
      </c>
      <c r="BF8" s="23">
        <v>2046.17</v>
      </c>
      <c r="BG8" s="23">
        <f>BH8-BF8</f>
        <v>39.8400000000001</v>
      </c>
      <c r="BH8" s="23">
        <v>2086.01</v>
      </c>
      <c r="BI8" s="23">
        <f>BJ8-BH8</f>
        <v>21.3799999999997</v>
      </c>
      <c r="BJ8" s="23">
        <v>2107.39</v>
      </c>
      <c r="BK8" s="23">
        <f>BL8-BJ8</f>
        <v>68.5799999999999</v>
      </c>
      <c r="BL8" s="23">
        <v>2175.97</v>
      </c>
      <c r="BM8" s="23">
        <f>BN8-BL8</f>
        <v>68.1600000000003</v>
      </c>
      <c r="BN8" s="23">
        <v>2244.13</v>
      </c>
      <c r="BO8" s="23">
        <f>BP8-BN8</f>
        <v>25.4200000000001</v>
      </c>
      <c r="BP8" s="23">
        <v>2269.55</v>
      </c>
      <c r="BQ8" s="23">
        <f>BR8-BP8</f>
        <v>47.4499999999998</v>
      </c>
      <c r="BR8" s="23">
        <v>2317</v>
      </c>
      <c r="BS8" s="23">
        <f>BT8-BR8</f>
        <v>20.5900000000001</v>
      </c>
      <c r="BT8" s="23">
        <v>2337.59</v>
      </c>
      <c r="BU8" s="23">
        <f>BV8-BT8</f>
        <v>64.6099999999997</v>
      </c>
      <c r="BV8" s="23">
        <v>2402.2</v>
      </c>
      <c r="BW8" s="23">
        <f>BX8-BV8</f>
        <v>44.4000000000001</v>
      </c>
      <c r="BX8" s="23">
        <v>2446.6</v>
      </c>
      <c r="BY8" s="23">
        <f>BZ8-BX8</f>
        <v>24.4000000000001</v>
      </c>
      <c r="BZ8" s="23">
        <v>2471</v>
      </c>
      <c r="CA8" s="23">
        <f>CB8-BZ8</f>
        <v>38.5700000000002</v>
      </c>
      <c r="CB8" s="23">
        <v>2509.57</v>
      </c>
      <c r="CC8" s="23">
        <f>CD8-CB8</f>
        <v>10.7799999999997</v>
      </c>
      <c r="CD8" s="23">
        <v>2520.35</v>
      </c>
      <c r="CE8" s="23">
        <f>CF8-CD8</f>
        <v>73.1700000000001</v>
      </c>
      <c r="CF8" s="23">
        <v>2593.52</v>
      </c>
      <c r="CG8" s="23">
        <f>CH8-CF8</f>
        <v>33.1199999999999</v>
      </c>
      <c r="CH8" s="23">
        <v>2626.64</v>
      </c>
      <c r="CI8" s="23">
        <f>CJ8-CH8</f>
        <v>22.8299999999999</v>
      </c>
      <c r="CJ8" s="23">
        <v>2649.47</v>
      </c>
      <c r="CK8" s="23">
        <f>CL8-CJ8</f>
        <v>57.3700000000003</v>
      </c>
      <c r="CL8" s="23">
        <v>2706.84</v>
      </c>
      <c r="CM8" s="23">
        <f>CN8-CL8</f>
        <v>34.8199999999997</v>
      </c>
      <c r="CN8" s="23">
        <v>2741.66</v>
      </c>
      <c r="CO8" s="23">
        <f>CP8-CN8</f>
        <v>64.6000000000004</v>
      </c>
      <c r="CP8" s="23">
        <v>2806.26</v>
      </c>
      <c r="CQ8" s="21" t="s">
        <v>85</v>
      </c>
      <c r="CR8" s="16">
        <v>950.42</v>
      </c>
      <c r="CS8" s="16" t="s">
        <v>86</v>
      </c>
      <c r="CT8" s="16">
        <v>628.67</v>
      </c>
      <c r="CU8" s="2">
        <v>35</v>
      </c>
      <c r="CV8" s="2">
        <v>8.2</v>
      </c>
      <c r="CW8" s="2">
        <v>65285</v>
      </c>
      <c r="CX8" s="15">
        <f>2.527678/(CP8/CR8)</f>
        <v>0.856070258906872</v>
      </c>
      <c r="CY8" s="15">
        <f>BP8-D8</f>
        <v>1361.61</v>
      </c>
    </row>
    <row r="9" spans="1:103">
      <c r="A9" s="1" t="s">
        <v>73</v>
      </c>
      <c r="B9" s="1" t="s">
        <v>87</v>
      </c>
      <c r="C9" s="1" t="s">
        <v>70</v>
      </c>
      <c r="D9" s="1">
        <v>1446.65</v>
      </c>
      <c r="E9" s="1">
        <f>F9-D9</f>
        <v>28.1799999999998</v>
      </c>
      <c r="F9" s="1">
        <v>1474.83</v>
      </c>
      <c r="G9" s="1">
        <f>H9-F9</f>
        <v>63.8200000000002</v>
      </c>
      <c r="H9" s="1">
        <v>1538.65</v>
      </c>
      <c r="I9" s="1">
        <f>J9-H9</f>
        <v>22.9199999999998</v>
      </c>
      <c r="J9" s="1">
        <v>1561.57</v>
      </c>
      <c r="K9" s="1">
        <f>L9-J9</f>
        <v>70.8600000000001</v>
      </c>
      <c r="L9" s="1">
        <v>1632.43</v>
      </c>
      <c r="M9" s="1">
        <f>N9-L9</f>
        <v>37.4099999999999</v>
      </c>
      <c r="N9" s="1">
        <v>1669.84</v>
      </c>
      <c r="O9" s="1">
        <f>P9-N9</f>
        <v>32.8300000000002</v>
      </c>
      <c r="P9" s="1">
        <v>1702.67</v>
      </c>
      <c r="Q9" s="1">
        <f>R9-P9</f>
        <v>51.9499999999998</v>
      </c>
      <c r="R9" s="1">
        <v>1754.62</v>
      </c>
      <c r="S9" s="1">
        <f>T9-R9</f>
        <v>40.1200000000001</v>
      </c>
      <c r="T9" s="1">
        <v>1794.74</v>
      </c>
      <c r="U9" s="1">
        <f>V9-T9</f>
        <v>77.5</v>
      </c>
      <c r="V9" s="12">
        <v>1872.24</v>
      </c>
      <c r="W9" s="1">
        <f>X9-V9</f>
        <v>79.5899999999999</v>
      </c>
      <c r="X9" s="12">
        <v>1951.83</v>
      </c>
      <c r="Y9" s="1">
        <f>Z9-X9</f>
        <v>9.01999999999998</v>
      </c>
      <c r="Z9" s="1">
        <v>1960.85</v>
      </c>
      <c r="AA9" s="1">
        <f>AB9-Z9</f>
        <v>74</v>
      </c>
      <c r="AB9" s="1">
        <v>2034.85</v>
      </c>
      <c r="AC9" s="1">
        <f>AD9-AB9</f>
        <v>31.8000000000002</v>
      </c>
      <c r="AD9" s="1">
        <v>2066.65</v>
      </c>
      <c r="AE9" s="17">
        <f>AF9-AD9</f>
        <v>107.43</v>
      </c>
      <c r="AF9" s="17">
        <v>2174.08</v>
      </c>
      <c r="AG9" s="17">
        <f>AH9-AF9</f>
        <v>53.3499999999999</v>
      </c>
      <c r="AH9" s="17">
        <v>2227.43</v>
      </c>
      <c r="AI9" s="17">
        <f>AJ9-AH9</f>
        <v>50.3300000000004</v>
      </c>
      <c r="AJ9" s="17">
        <v>2277.76</v>
      </c>
      <c r="AK9" s="17">
        <f>AL9-AJ9</f>
        <v>58.7299999999996</v>
      </c>
      <c r="AL9" s="17">
        <v>2336.49</v>
      </c>
      <c r="AM9" s="17">
        <f>AN9-AL9</f>
        <v>77.9400000000001</v>
      </c>
      <c r="AN9" s="17">
        <v>2414.43</v>
      </c>
      <c r="AO9" s="17">
        <f>AP9-AN9</f>
        <v>88.73</v>
      </c>
      <c r="AP9" s="17">
        <v>2503.16</v>
      </c>
      <c r="AQ9" s="17">
        <f>AR9-AP9</f>
        <v>60.4900000000002</v>
      </c>
      <c r="AR9" s="17">
        <v>2563.65</v>
      </c>
      <c r="AS9" s="17">
        <f>AT9-AR9</f>
        <v>52.7799999999997</v>
      </c>
      <c r="AT9" s="17">
        <v>2616.43</v>
      </c>
      <c r="AU9" s="22">
        <f>AV9-AT9</f>
        <v>26.8600000000001</v>
      </c>
      <c r="AV9" s="22">
        <v>2643.29</v>
      </c>
      <c r="AW9" s="27">
        <f>AX9-AV9</f>
        <v>56.9099999999999</v>
      </c>
      <c r="AX9" s="27">
        <v>2700.2</v>
      </c>
      <c r="AY9" s="27">
        <f>AZ9-AX9</f>
        <v>78.5900000000001</v>
      </c>
      <c r="AZ9" s="27">
        <v>2778.79</v>
      </c>
      <c r="BA9" s="27">
        <f>BB9-AZ9</f>
        <v>43.0700000000002</v>
      </c>
      <c r="BB9" s="27">
        <v>2821.86</v>
      </c>
      <c r="BC9" s="27">
        <f>BD9-BB9</f>
        <v>34.5099999999998</v>
      </c>
      <c r="BD9" s="27">
        <v>2856.37</v>
      </c>
      <c r="BE9" s="22">
        <f>BF9-BD9</f>
        <v>34.5799999999999</v>
      </c>
      <c r="BF9" s="27">
        <v>2890.95</v>
      </c>
      <c r="BG9" s="27">
        <f>BH9-BF9</f>
        <v>31.1200000000003</v>
      </c>
      <c r="BH9" s="27">
        <v>2922.07</v>
      </c>
      <c r="BI9" s="27">
        <f>BJ9-BH9</f>
        <v>60.27</v>
      </c>
      <c r="BJ9" s="27">
        <v>2982.34</v>
      </c>
      <c r="BK9" s="27">
        <f>BL9-BJ9</f>
        <v>42.5599999999999</v>
      </c>
      <c r="BL9" s="27">
        <v>3024.9</v>
      </c>
      <c r="BM9" s="27">
        <f>BN9-BL9</f>
        <v>66.8499999999999</v>
      </c>
      <c r="BN9" s="27">
        <v>3091.75</v>
      </c>
      <c r="BO9" s="27">
        <f>BP9-BN9</f>
        <v>40.8899999999999</v>
      </c>
      <c r="BP9" s="27">
        <v>3132.64</v>
      </c>
      <c r="BQ9" s="27">
        <f>BR9-BP9</f>
        <v>57.7800000000002</v>
      </c>
      <c r="BR9" s="27">
        <v>3190.42</v>
      </c>
      <c r="BS9" s="27">
        <f>BT9-BR9</f>
        <v>40.6300000000001</v>
      </c>
      <c r="BT9" s="27">
        <v>3231.05</v>
      </c>
      <c r="BU9" s="27">
        <f>BV9-BT9</f>
        <v>68.3299999999999</v>
      </c>
      <c r="BV9" s="27">
        <v>3299.38</v>
      </c>
      <c r="BW9" s="27">
        <f>BX9-BV9</f>
        <v>67.9200000000001</v>
      </c>
      <c r="BX9" s="27">
        <v>3367.3</v>
      </c>
      <c r="BY9" s="27">
        <f>BZ9-BX9</f>
        <v>52.96</v>
      </c>
      <c r="BZ9" s="27">
        <v>3420.26</v>
      </c>
      <c r="CA9" s="27">
        <f>CB9-BZ9</f>
        <v>41.3299999999999</v>
      </c>
      <c r="CB9" s="27">
        <v>3461.59</v>
      </c>
      <c r="CC9" s="27">
        <f>CD9-CB9</f>
        <v>51.1399999999999</v>
      </c>
      <c r="CD9" s="27">
        <v>3512.73</v>
      </c>
      <c r="CE9" s="27">
        <f>CF9-CD9</f>
        <v>100.36</v>
      </c>
      <c r="CF9" s="27">
        <v>3613.09</v>
      </c>
      <c r="CG9" s="27">
        <f>CH9-CF9</f>
        <v>85.6299999999997</v>
      </c>
      <c r="CH9" s="27">
        <v>3698.72</v>
      </c>
      <c r="CI9" s="27">
        <f>CJ9-CH9</f>
        <v>46.8200000000002</v>
      </c>
      <c r="CJ9" s="27">
        <v>3745.54</v>
      </c>
      <c r="CK9" s="27">
        <f>CL9-CJ9</f>
        <v>90.0900000000001</v>
      </c>
      <c r="CL9" s="27">
        <v>3835.63</v>
      </c>
      <c r="CM9" s="27">
        <f>CN9-CL9</f>
        <v>55.0999999999999</v>
      </c>
      <c r="CN9" s="27">
        <v>3890.73</v>
      </c>
      <c r="CO9" s="27">
        <f>CP9-CN9</f>
        <v>56.2399999999998</v>
      </c>
      <c r="CP9" s="27">
        <v>3946.97</v>
      </c>
      <c r="CQ9" s="22" t="s">
        <v>71</v>
      </c>
      <c r="CR9" s="17">
        <v>1557.47</v>
      </c>
      <c r="CS9" s="17" t="s">
        <v>72</v>
      </c>
      <c r="CT9" s="17">
        <v>1048.57</v>
      </c>
      <c r="CU9" s="2">
        <v>65</v>
      </c>
      <c r="CV9" s="2">
        <v>1.4</v>
      </c>
      <c r="CW9" s="2">
        <v>109333</v>
      </c>
      <c r="CX9" s="15">
        <f>2.527678/(CP9/CR9)</f>
        <v>0.997418945332749</v>
      </c>
      <c r="CY9" s="15">
        <f>BP9-D9</f>
        <v>1685.99</v>
      </c>
    </row>
    <row r="10" spans="1:103">
      <c r="A10" s="2" t="s">
        <v>88</v>
      </c>
      <c r="B10" s="2" t="s">
        <v>89</v>
      </c>
      <c r="C10" s="2" t="s">
        <v>83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16">
        <v>1429.42</v>
      </c>
      <c r="AS10" s="16">
        <f>AT10-AR10</f>
        <v>0</v>
      </c>
      <c r="AT10" s="16">
        <v>1429.42</v>
      </c>
      <c r="AU10" s="21">
        <f>AV10-AT10</f>
        <v>22.4199999999998</v>
      </c>
      <c r="AV10" s="21">
        <v>1451.84</v>
      </c>
      <c r="AW10" s="23">
        <f>AX10-AV10</f>
        <v>24.0600000000002</v>
      </c>
      <c r="AX10" s="23">
        <v>1475.9</v>
      </c>
      <c r="AY10" s="23">
        <f>AZ10-AX10</f>
        <v>41.01</v>
      </c>
      <c r="AZ10" s="23">
        <v>1516.91</v>
      </c>
      <c r="BA10" s="23">
        <f>BB10-AZ10</f>
        <v>25.5999999999999</v>
      </c>
      <c r="BB10" s="23">
        <v>1542.51</v>
      </c>
      <c r="BC10" s="23">
        <f>BD10-BB10</f>
        <v>35.6800000000001</v>
      </c>
      <c r="BD10" s="23">
        <v>1578.19</v>
      </c>
      <c r="BE10" s="21">
        <f>BF10-BD10</f>
        <v>-0.230000000000018</v>
      </c>
      <c r="BF10" s="23">
        <v>1577.96</v>
      </c>
      <c r="BG10" s="23">
        <f>BH10-BF10</f>
        <v>57.1099999999999</v>
      </c>
      <c r="BH10" s="23">
        <v>1635.07</v>
      </c>
      <c r="BI10" s="23">
        <f>BJ10-BH10</f>
        <v>51.1700000000001</v>
      </c>
      <c r="BJ10" s="23">
        <v>1686.24</v>
      </c>
      <c r="BK10" s="23">
        <f>BL10-BJ10</f>
        <v>29.0699999999999</v>
      </c>
      <c r="BL10" s="23">
        <v>1715.31</v>
      </c>
      <c r="BM10" s="23">
        <f>BN10-BL10</f>
        <v>22.1300000000001</v>
      </c>
      <c r="BN10" s="23">
        <v>1737.44</v>
      </c>
      <c r="BO10" s="23">
        <f>BP10-BN10</f>
        <v>39.3399999999999</v>
      </c>
      <c r="BP10" s="23">
        <v>1776.78</v>
      </c>
      <c r="BQ10" s="23">
        <f>BR10-BP10</f>
        <v>40.3900000000001</v>
      </c>
      <c r="BR10" s="23">
        <v>1817.17</v>
      </c>
      <c r="BS10" s="23">
        <f>BT10-BR10</f>
        <v>30.6799999999998</v>
      </c>
      <c r="BT10" s="23">
        <v>1847.85</v>
      </c>
      <c r="BU10" s="23">
        <f>BV10-BT10</f>
        <v>44.9100000000001</v>
      </c>
      <c r="BV10" s="23">
        <v>1892.76</v>
      </c>
      <c r="BW10" s="23">
        <f>BX10-BV10</f>
        <v>51.1400000000001</v>
      </c>
      <c r="BX10" s="23">
        <v>1943.9</v>
      </c>
      <c r="BY10" s="23">
        <f>BZ10-BX10</f>
        <v>15.48</v>
      </c>
      <c r="BZ10" s="23">
        <v>1959.38</v>
      </c>
      <c r="CA10" s="23">
        <f>CB10-BZ10</f>
        <v>-2.44000000000005</v>
      </c>
      <c r="CB10" s="23">
        <v>1956.94</v>
      </c>
      <c r="CC10" s="23">
        <f>CD10-CB10</f>
        <v>57.8299999999999</v>
      </c>
      <c r="CD10" s="23">
        <v>2014.77</v>
      </c>
      <c r="CE10" s="23">
        <f>CF10-CD10</f>
        <v>31.53</v>
      </c>
      <c r="CF10" s="23">
        <v>2046.3</v>
      </c>
      <c r="CG10" s="23">
        <f>CH10-CF10</f>
        <v>84.01</v>
      </c>
      <c r="CH10" s="23">
        <v>2130.31</v>
      </c>
      <c r="CI10" s="23">
        <f>CJ10-CH10</f>
        <v>47.0700000000002</v>
      </c>
      <c r="CJ10" s="23">
        <v>2177.38</v>
      </c>
      <c r="CK10" s="23">
        <f>CL10-CJ10</f>
        <v>65.9200000000001</v>
      </c>
      <c r="CL10" s="23">
        <v>2243.3</v>
      </c>
      <c r="CM10" s="23">
        <f>CN10-CL10</f>
        <v>32.2999999999997</v>
      </c>
      <c r="CN10" s="23">
        <v>2275.6</v>
      </c>
      <c r="CO10" s="23">
        <f>CP10-CN10</f>
        <v>52.6100000000001</v>
      </c>
      <c r="CP10" s="23">
        <v>2328.21</v>
      </c>
      <c r="CQ10" s="21" t="s">
        <v>90</v>
      </c>
      <c r="CR10" s="16">
        <v>560.62</v>
      </c>
      <c r="CS10" s="18" t="s">
        <v>91</v>
      </c>
      <c r="CT10" s="18">
        <v>304.12</v>
      </c>
      <c r="CU10" s="8"/>
      <c r="CV10" s="8"/>
      <c r="CW10" s="8"/>
      <c r="CX10" s="15">
        <f>2.527678/(CP10/CR10)</f>
        <v>0.608650783374352</v>
      </c>
      <c r="CY10" s="15">
        <f>BP10-D10</f>
        <v>1776.78</v>
      </c>
    </row>
    <row r="11" spans="1:103">
      <c r="A11" s="1" t="s">
        <v>77</v>
      </c>
      <c r="B11" s="1" t="s">
        <v>92</v>
      </c>
      <c r="C11" s="1" t="s">
        <v>83</v>
      </c>
      <c r="D11" s="1">
        <v>1425.22</v>
      </c>
      <c r="E11" s="1">
        <f>F11-D11</f>
        <v>64.8599999999999</v>
      </c>
      <c r="F11" s="1">
        <v>1490.08</v>
      </c>
      <c r="G11" s="1">
        <f>H11-F11</f>
        <v>46</v>
      </c>
      <c r="H11" s="1">
        <v>1536.08</v>
      </c>
      <c r="I11" s="1">
        <f>J11-H11</f>
        <v>50.8500000000001</v>
      </c>
      <c r="J11" s="1">
        <v>1586.93</v>
      </c>
      <c r="K11" s="1">
        <f>L11-J11</f>
        <v>86.5599999999999</v>
      </c>
      <c r="L11" s="1">
        <v>1673.49</v>
      </c>
      <c r="M11" s="1">
        <f>N11-L11</f>
        <v>38.5599999999999</v>
      </c>
      <c r="N11" s="1">
        <v>1712.05</v>
      </c>
      <c r="O11" s="1">
        <f>P11-N11</f>
        <v>57.0900000000001</v>
      </c>
      <c r="P11" s="1">
        <v>1769.14</v>
      </c>
      <c r="Q11" s="1">
        <f>R11-P11</f>
        <v>50.8699999999999</v>
      </c>
      <c r="R11" s="1">
        <v>1820.01</v>
      </c>
      <c r="S11" s="1">
        <f>T11-R11</f>
        <v>94.4300000000001</v>
      </c>
      <c r="T11" s="1">
        <v>1914.44</v>
      </c>
      <c r="U11" s="1">
        <f>V11-T11</f>
        <v>31.51</v>
      </c>
      <c r="V11" s="12">
        <v>1945.95</v>
      </c>
      <c r="W11" s="1">
        <f>X11-V11</f>
        <v>92.5899999999999</v>
      </c>
      <c r="X11" s="12">
        <v>2038.54</v>
      </c>
      <c r="Y11" s="1">
        <f>Z11-X11</f>
        <v>48.1399999999999</v>
      </c>
      <c r="Z11" s="1">
        <v>2086.68</v>
      </c>
      <c r="AA11" s="1">
        <f>AB11-Z11</f>
        <v>78.1300000000001</v>
      </c>
      <c r="AB11" s="1">
        <v>2164.81</v>
      </c>
      <c r="AC11" s="1">
        <f>AD11-AB11</f>
        <v>39.8400000000001</v>
      </c>
      <c r="AD11" s="1">
        <v>2204.65</v>
      </c>
      <c r="AE11" s="17">
        <f>AF11-AD11</f>
        <v>79.98</v>
      </c>
      <c r="AF11" s="17">
        <v>2284.63</v>
      </c>
      <c r="AG11" s="17">
        <f>AH11-AF11</f>
        <v>35.54</v>
      </c>
      <c r="AH11" s="17">
        <v>2320.17</v>
      </c>
      <c r="AI11" s="17">
        <f>AJ11-AH11</f>
        <v>53.4000000000001</v>
      </c>
      <c r="AJ11" s="17">
        <v>2373.57</v>
      </c>
      <c r="AK11" s="17">
        <f>AL11-AJ11</f>
        <v>36.6599999999999</v>
      </c>
      <c r="AL11" s="17">
        <v>2410.23</v>
      </c>
      <c r="AM11" s="17">
        <f>AN11-AL11</f>
        <v>51.25</v>
      </c>
      <c r="AN11" s="17">
        <v>2461.48</v>
      </c>
      <c r="AO11" s="17">
        <f>AP11-AN11</f>
        <v>66.4499999999998</v>
      </c>
      <c r="AP11" s="17">
        <v>2527.93</v>
      </c>
      <c r="AQ11" s="17">
        <f>AR11-AP11</f>
        <v>47.4900000000002</v>
      </c>
      <c r="AR11" s="17">
        <v>2575.42</v>
      </c>
      <c r="AS11" s="17">
        <f>AT11-AR11</f>
        <v>40.75</v>
      </c>
      <c r="AT11" s="17">
        <v>2616.17</v>
      </c>
      <c r="AU11" s="22">
        <f>AV11-AT11</f>
        <v>48.8499999999999</v>
      </c>
      <c r="AV11" s="22">
        <v>2665.02</v>
      </c>
      <c r="AW11" s="27">
        <f>AX11-AV11</f>
        <v>41.5999999999999</v>
      </c>
      <c r="AX11" s="27">
        <v>2706.62</v>
      </c>
      <c r="AY11" s="27">
        <f>AZ11-AX11</f>
        <v>42.8900000000003</v>
      </c>
      <c r="AZ11" s="27">
        <v>2749.51</v>
      </c>
      <c r="BA11" s="27">
        <f>BB11-AZ11</f>
        <v>35.6099999999997</v>
      </c>
      <c r="BB11" s="27">
        <v>2785.12</v>
      </c>
      <c r="BC11" s="27">
        <f>BD11-BB11</f>
        <v>30.4900000000002</v>
      </c>
      <c r="BD11" s="27">
        <v>2815.61</v>
      </c>
      <c r="BE11" s="22">
        <f>BF11-BD11</f>
        <v>72.29</v>
      </c>
      <c r="BF11" s="27">
        <v>2887.9</v>
      </c>
      <c r="BG11" s="27">
        <f>BH11-BF11</f>
        <v>44.9899999999998</v>
      </c>
      <c r="BH11" s="27">
        <v>2932.89</v>
      </c>
      <c r="BI11" s="27">
        <f>BJ11-BH11</f>
        <v>72.2400000000002</v>
      </c>
      <c r="BJ11" s="27">
        <v>3005.13</v>
      </c>
      <c r="BK11" s="27">
        <f>BL11-BJ11</f>
        <v>54.4699999999998</v>
      </c>
      <c r="BL11" s="27">
        <v>3059.6</v>
      </c>
      <c r="BM11" s="27">
        <f>BN11-BL11</f>
        <v>16.6700000000001</v>
      </c>
      <c r="BN11" s="27">
        <v>3076.27</v>
      </c>
      <c r="BO11" s="27">
        <f>BP11-BN11</f>
        <v>64.46</v>
      </c>
      <c r="BP11" s="27">
        <v>3140.73</v>
      </c>
      <c r="BQ11" s="27">
        <f>BR11-BP11</f>
        <v>68.6700000000001</v>
      </c>
      <c r="BR11" s="27">
        <v>3209.4</v>
      </c>
      <c r="BS11" s="27">
        <f>BT11-BR11</f>
        <v>59.4099999999999</v>
      </c>
      <c r="BT11" s="27">
        <v>3268.81</v>
      </c>
      <c r="BU11" s="27">
        <f>BV11-BT11</f>
        <v>44.3000000000002</v>
      </c>
      <c r="BV11" s="27">
        <v>3313.11</v>
      </c>
      <c r="BW11" s="27">
        <f>BX11-BV11</f>
        <v>32.3799999999997</v>
      </c>
      <c r="BX11" s="27">
        <v>3345.49</v>
      </c>
      <c r="BY11" s="27">
        <f>BZ11-BX11</f>
        <v>44.1300000000001</v>
      </c>
      <c r="BZ11" s="27">
        <v>3389.62</v>
      </c>
      <c r="CA11" s="27">
        <f>CB11-BZ11</f>
        <v>44.1100000000001</v>
      </c>
      <c r="CB11" s="27">
        <v>3433.73</v>
      </c>
      <c r="CC11" s="27">
        <f>CD11-CB11</f>
        <v>32.5599999999999</v>
      </c>
      <c r="CD11" s="27">
        <v>3466.29</v>
      </c>
      <c r="CE11" s="27">
        <f>CF11-CD11</f>
        <v>42.1199999999999</v>
      </c>
      <c r="CF11" s="27">
        <v>3508.41</v>
      </c>
      <c r="CG11" s="27">
        <f>CH11-CF11</f>
        <v>83.3000000000002</v>
      </c>
      <c r="CH11" s="27">
        <v>3591.71</v>
      </c>
      <c r="CI11" s="27">
        <f>CJ11-CH11</f>
        <v>89.1700000000001</v>
      </c>
      <c r="CJ11" s="27">
        <v>3680.88</v>
      </c>
      <c r="CK11" s="27">
        <f>CL11-CJ11</f>
        <v>43.0099999999998</v>
      </c>
      <c r="CL11" s="27">
        <v>3723.89</v>
      </c>
      <c r="CM11" s="27">
        <f>CN11-CL11</f>
        <v>35.3800000000001</v>
      </c>
      <c r="CN11" s="27">
        <v>3759.27</v>
      </c>
      <c r="CO11" s="27">
        <f>CP11-CN11</f>
        <v>49.6700000000001</v>
      </c>
      <c r="CP11" s="27">
        <v>3808.94</v>
      </c>
      <c r="CQ11" s="22" t="s">
        <v>90</v>
      </c>
      <c r="CR11" s="17">
        <v>955.87</v>
      </c>
      <c r="CS11" s="17" t="s">
        <v>93</v>
      </c>
      <c r="CT11" s="17">
        <v>748.71</v>
      </c>
      <c r="CU11" s="2">
        <v>20</v>
      </c>
      <c r="CV11" s="2">
        <v>1.1</v>
      </c>
      <c r="CW11" s="2">
        <v>106867</v>
      </c>
      <c r="CX11" s="15">
        <f>2.527678/(CP11/CR11)</f>
        <v>0.634331748428697</v>
      </c>
      <c r="CY11" s="15">
        <f>BP11-D11</f>
        <v>1715.51</v>
      </c>
    </row>
    <row r="12" spans="1:103">
      <c r="A12" s="1" t="s">
        <v>60</v>
      </c>
      <c r="B12" s="1" t="s">
        <v>94</v>
      </c>
      <c r="C12" s="1" t="s">
        <v>83</v>
      </c>
      <c r="D12" s="1">
        <v>1156.57</v>
      </c>
      <c r="E12" s="1">
        <f>F12-D12</f>
        <v>40.4400000000001</v>
      </c>
      <c r="F12" s="1">
        <v>1197.01</v>
      </c>
      <c r="G12" s="1">
        <f>H12-F12</f>
        <v>46.97</v>
      </c>
      <c r="H12" s="1">
        <v>1243.98</v>
      </c>
      <c r="I12" s="1">
        <f>J12-H12</f>
        <v>58.49</v>
      </c>
      <c r="J12" s="1">
        <v>1302.47</v>
      </c>
      <c r="K12" s="1">
        <f>L12-J12</f>
        <v>36.6399999999999</v>
      </c>
      <c r="L12" s="1">
        <v>1339.11</v>
      </c>
      <c r="M12" s="1">
        <f>N12-L12</f>
        <v>33.99</v>
      </c>
      <c r="N12" s="1">
        <v>1373.1</v>
      </c>
      <c r="O12" s="1">
        <f>P12-N12</f>
        <v>30.0600000000002</v>
      </c>
      <c r="P12" s="1">
        <v>1403.16</v>
      </c>
      <c r="Q12" s="1">
        <f>R12-P12</f>
        <v>47.3</v>
      </c>
      <c r="R12" s="1">
        <v>1450.46</v>
      </c>
      <c r="S12" s="1">
        <f>T12-R12</f>
        <v>46.8299999999999</v>
      </c>
      <c r="T12" s="1">
        <v>1497.29</v>
      </c>
      <c r="U12" s="1">
        <f>V12-T12</f>
        <v>58.6500000000001</v>
      </c>
      <c r="V12" s="12">
        <v>1555.94</v>
      </c>
      <c r="W12" s="1">
        <f>X12-V12</f>
        <v>70.3099999999999</v>
      </c>
      <c r="X12" s="12">
        <v>1626.25</v>
      </c>
      <c r="Y12" s="1">
        <f>Z12-X12</f>
        <v>31.49</v>
      </c>
      <c r="Z12" s="1">
        <v>1657.74</v>
      </c>
      <c r="AA12" s="1">
        <f>AB12-Z12</f>
        <v>59.21</v>
      </c>
      <c r="AB12" s="1">
        <v>1716.95</v>
      </c>
      <c r="AC12" s="1">
        <f>AD12-AB12</f>
        <v>31.99</v>
      </c>
      <c r="AD12" s="1">
        <v>1748.94</v>
      </c>
      <c r="AE12" s="17">
        <f>AF12-AD12</f>
        <v>52.0999999999999</v>
      </c>
      <c r="AF12" s="17">
        <v>1801.04</v>
      </c>
      <c r="AG12" s="17">
        <f>AH12-AF12</f>
        <v>74.74</v>
      </c>
      <c r="AH12" s="17">
        <v>1875.78</v>
      </c>
      <c r="AI12" s="17">
        <f>AJ12-AH12</f>
        <v>51.3700000000001</v>
      </c>
      <c r="AJ12" s="17">
        <v>1927.15</v>
      </c>
      <c r="AK12" s="17">
        <f>AL12-AJ12</f>
        <v>58.48</v>
      </c>
      <c r="AL12" s="17">
        <v>1985.63</v>
      </c>
      <c r="AM12" s="17">
        <f>AN12-AL12</f>
        <v>31.6599999999999</v>
      </c>
      <c r="AN12" s="17">
        <v>2017.29</v>
      </c>
      <c r="AO12" s="17">
        <f>AP12-AN12</f>
        <v>53.0100000000002</v>
      </c>
      <c r="AP12" s="17">
        <v>2070.3</v>
      </c>
      <c r="AQ12" s="17">
        <f>AR12-AP12</f>
        <v>52.5</v>
      </c>
      <c r="AR12" s="17">
        <v>2122.8</v>
      </c>
      <c r="AS12" s="17">
        <f>AT12-AR12</f>
        <v>65.02</v>
      </c>
      <c r="AT12" s="17">
        <v>2187.82</v>
      </c>
      <c r="AU12" s="22">
        <f>AV12-AT12</f>
        <v>39.3199999999997</v>
      </c>
      <c r="AV12" s="22">
        <v>2227.14</v>
      </c>
      <c r="AW12" s="27">
        <f>AX12-AV12</f>
        <v>65.5799999999999</v>
      </c>
      <c r="AX12" s="27">
        <v>2292.72</v>
      </c>
      <c r="AY12" s="27">
        <f>AZ12-AX12</f>
        <v>43.3800000000001</v>
      </c>
      <c r="AZ12" s="27">
        <v>2336.1</v>
      </c>
      <c r="BA12" s="27">
        <f>BB12-AZ12</f>
        <v>56.0500000000002</v>
      </c>
      <c r="BB12" s="27">
        <v>2392.15</v>
      </c>
      <c r="BC12" s="27">
        <f>BD12-BB12</f>
        <v>36.2999999999997</v>
      </c>
      <c r="BD12" s="27">
        <v>2428.45</v>
      </c>
      <c r="BE12" s="22">
        <f>BF12-BD12</f>
        <v>49.8200000000002</v>
      </c>
      <c r="BF12" s="27">
        <v>2478.27</v>
      </c>
      <c r="BG12" s="27">
        <f>BH12-BF12</f>
        <v>65.7800000000002</v>
      </c>
      <c r="BH12" s="27">
        <v>2544.05</v>
      </c>
      <c r="BI12" s="27">
        <f>BJ12-BH12</f>
        <v>16.29</v>
      </c>
      <c r="BJ12" s="27">
        <v>2560.34</v>
      </c>
      <c r="BK12" s="27">
        <f>BL12-BJ12</f>
        <v>84.4099999999999</v>
      </c>
      <c r="BL12" s="27">
        <v>2644.75</v>
      </c>
      <c r="BM12" s="27">
        <f>BN12-BL12</f>
        <v>33.6599999999999</v>
      </c>
      <c r="BN12" s="27">
        <v>2678.41</v>
      </c>
      <c r="BO12" s="27">
        <f>BP12-BN12</f>
        <v>51.1500000000001</v>
      </c>
      <c r="BP12" s="27">
        <v>2729.56</v>
      </c>
      <c r="BQ12" s="27">
        <f>BR12-BP12</f>
        <v>50.8299999999999</v>
      </c>
      <c r="BR12" s="27">
        <v>2780.39</v>
      </c>
      <c r="BS12" s="27">
        <f>BT12-BR12</f>
        <v>33.9300000000003</v>
      </c>
      <c r="BT12" s="27">
        <v>2814.32</v>
      </c>
      <c r="BU12" s="27">
        <f>BV12-BT12</f>
        <v>43.9400000000001</v>
      </c>
      <c r="BV12" s="27">
        <v>2858.26</v>
      </c>
      <c r="BW12" s="27">
        <f>BX12-BV12</f>
        <v>47.4199999999996</v>
      </c>
      <c r="BX12" s="27">
        <v>2905.68</v>
      </c>
      <c r="BY12" s="27">
        <f>BZ12-BX12</f>
        <v>51.02</v>
      </c>
      <c r="BZ12" s="27">
        <v>2956.7</v>
      </c>
      <c r="CA12" s="27">
        <f>CB12-BZ12</f>
        <v>67.3400000000001</v>
      </c>
      <c r="CB12" s="27">
        <v>3024.04</v>
      </c>
      <c r="CC12" s="27">
        <f>CD12-CB12</f>
        <v>59.4200000000001</v>
      </c>
      <c r="CD12" s="27">
        <v>3083.46</v>
      </c>
      <c r="CE12" s="27">
        <f>CF12-CD12</f>
        <v>49.1900000000001</v>
      </c>
      <c r="CF12" s="27">
        <v>3132.65</v>
      </c>
      <c r="CG12" s="27">
        <f>CH12-CF12</f>
        <v>46.54</v>
      </c>
      <c r="CH12" s="27">
        <v>3179.19</v>
      </c>
      <c r="CI12" s="27">
        <f>CJ12-CH12</f>
        <v>23.3600000000001</v>
      </c>
      <c r="CJ12" s="27">
        <v>3202.55</v>
      </c>
      <c r="CK12" s="27">
        <f>CL12-CJ12</f>
        <v>39.1199999999999</v>
      </c>
      <c r="CL12" s="27">
        <v>3241.67</v>
      </c>
      <c r="CM12" s="27">
        <f>CN12-CL12</f>
        <v>57.2199999999998</v>
      </c>
      <c r="CN12" s="27">
        <v>3298.89</v>
      </c>
      <c r="CO12" s="27">
        <f>CP12-CN12</f>
        <v>48.46</v>
      </c>
      <c r="CP12" s="27">
        <v>3347.35</v>
      </c>
      <c r="CQ12" s="22" t="s">
        <v>95</v>
      </c>
      <c r="CR12" s="17">
        <v>969.87</v>
      </c>
      <c r="CS12" s="16" t="s">
        <v>80</v>
      </c>
      <c r="CT12" s="16">
        <v>614.12</v>
      </c>
      <c r="CU12" s="2">
        <v>25</v>
      </c>
      <c r="CV12" s="2">
        <v>3</v>
      </c>
      <c r="CW12" s="2">
        <v>100457</v>
      </c>
      <c r="CX12" s="15">
        <f>2.527678/(CP12/CR12)</f>
        <v>0.732376077153569</v>
      </c>
      <c r="CY12" s="15">
        <f>BP12-D12</f>
        <v>1572.99</v>
      </c>
    </row>
    <row r="13" spans="1:103">
      <c r="A13" s="2" t="s">
        <v>88</v>
      </c>
      <c r="B13" s="2" t="s">
        <v>96</v>
      </c>
      <c r="C13" s="2" t="s">
        <v>97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16">
        <v>1444.24</v>
      </c>
      <c r="AS13" s="16">
        <f>AT13-AR13</f>
        <v>0</v>
      </c>
      <c r="AT13" s="16">
        <v>1444.24</v>
      </c>
      <c r="AU13" s="21">
        <f>AV13-AT13</f>
        <v>35.5599999999999</v>
      </c>
      <c r="AV13" s="23">
        <v>1479.8</v>
      </c>
      <c r="AW13" s="23">
        <f>AX13-AV13</f>
        <v>30.3700000000001</v>
      </c>
      <c r="AX13" s="23">
        <v>1510.17</v>
      </c>
      <c r="AY13" s="23">
        <f>AZ13-AX13</f>
        <v>21.47</v>
      </c>
      <c r="AZ13" s="23">
        <v>1531.64</v>
      </c>
      <c r="BA13" s="23">
        <f>BB13-AZ13</f>
        <v>41.3899999999999</v>
      </c>
      <c r="BB13" s="23">
        <v>1573.03</v>
      </c>
      <c r="BC13" s="23">
        <f>BD13-BB13</f>
        <v>24.21</v>
      </c>
      <c r="BD13" s="23">
        <v>1597.24</v>
      </c>
      <c r="BE13" s="21">
        <f>BF13-BD13</f>
        <v>19.22</v>
      </c>
      <c r="BF13" s="23">
        <v>1616.46</v>
      </c>
      <c r="BG13" s="23">
        <f>BH13-BF13</f>
        <v>35.5599999999999</v>
      </c>
      <c r="BH13" s="23">
        <v>1652.02</v>
      </c>
      <c r="BI13" s="23">
        <f>BJ13-BH13</f>
        <v>47.72</v>
      </c>
      <c r="BJ13" s="23">
        <v>1699.74</v>
      </c>
      <c r="BK13" s="23">
        <f>BL13-BJ13</f>
        <v>34.0999999999999</v>
      </c>
      <c r="BL13" s="23">
        <v>1733.84</v>
      </c>
      <c r="BM13" s="23">
        <f>BN13-BL13</f>
        <v>41.5800000000002</v>
      </c>
      <c r="BN13" s="23">
        <v>1775.42</v>
      </c>
      <c r="BO13" s="23">
        <f>BP13-BN13</f>
        <v>41.6799999999998</v>
      </c>
      <c r="BP13" s="23">
        <v>1817.1</v>
      </c>
      <c r="BQ13" s="23">
        <f>BR13-BP13</f>
        <v>28.2900000000002</v>
      </c>
      <c r="BR13" s="23">
        <v>1845.39</v>
      </c>
      <c r="BS13" s="23">
        <f>BT13-BR13</f>
        <v>31.1699999999998</v>
      </c>
      <c r="BT13" s="23">
        <v>1876.56</v>
      </c>
      <c r="BU13" s="23">
        <f>BV13-BT13</f>
        <v>31.27</v>
      </c>
      <c r="BV13" s="23">
        <v>1907.83</v>
      </c>
      <c r="BW13" s="23">
        <f>BX13-BV13</f>
        <v>38.53</v>
      </c>
      <c r="BX13" s="23">
        <v>1946.36</v>
      </c>
      <c r="BY13" s="23">
        <f>BZ13-BX13</f>
        <v>28.5400000000002</v>
      </c>
      <c r="BZ13" s="23">
        <v>1974.9</v>
      </c>
      <c r="CA13" s="23">
        <f>CB13-BZ13</f>
        <v>15.3499999999999</v>
      </c>
      <c r="CB13" s="23">
        <v>1990.25</v>
      </c>
      <c r="CC13" s="23">
        <f>CD13-CB13</f>
        <v>65.8699999999999</v>
      </c>
      <c r="CD13" s="23">
        <v>2056.12</v>
      </c>
      <c r="CE13" s="23">
        <f>CF13-CD13</f>
        <v>22.29</v>
      </c>
      <c r="CF13" s="23">
        <v>2078.41</v>
      </c>
      <c r="CG13" s="23">
        <f>CH13-CF13</f>
        <v>42.4700000000003</v>
      </c>
      <c r="CH13" s="23">
        <v>2120.88</v>
      </c>
      <c r="CI13" s="23">
        <f>CJ13-CH13</f>
        <v>31.0099999999998</v>
      </c>
      <c r="CJ13" s="23">
        <v>2151.89</v>
      </c>
      <c r="CK13" s="23">
        <f>CL13-CJ13</f>
        <v>75.6600000000003</v>
      </c>
      <c r="CL13" s="23">
        <v>2227.55</v>
      </c>
      <c r="CM13" s="23">
        <f>CN13-CL13</f>
        <v>9.57999999999993</v>
      </c>
      <c r="CN13" s="23">
        <v>2237.13</v>
      </c>
      <c r="CO13" s="23">
        <f>CP13-CN13</f>
        <v>44.8099999999999</v>
      </c>
      <c r="CP13" s="23">
        <v>2281.94</v>
      </c>
      <c r="CQ13" s="21" t="s">
        <v>85</v>
      </c>
      <c r="CR13" s="16">
        <v>406.11</v>
      </c>
      <c r="CS13" s="18" t="s">
        <v>93</v>
      </c>
      <c r="CT13" s="18">
        <v>303.44</v>
      </c>
      <c r="CU13" s="8"/>
      <c r="CV13" s="8"/>
      <c r="CW13" s="8"/>
      <c r="CX13" s="15">
        <f>2.527678/(CP13/CR13)</f>
        <v>0.449843252925143</v>
      </c>
      <c r="CY13" s="15">
        <f>BP13-D13</f>
        <v>1817.1</v>
      </c>
    </row>
    <row r="14" spans="1:103">
      <c r="A14" s="2" t="s">
        <v>98</v>
      </c>
      <c r="B14" s="2" t="s">
        <v>99</v>
      </c>
      <c r="C14" s="2" t="s">
        <v>83</v>
      </c>
      <c r="D14" s="2">
        <v>953.78</v>
      </c>
      <c r="E14" s="2">
        <f>F14-D14</f>
        <v>28.97</v>
      </c>
      <c r="F14" s="2">
        <v>982.75</v>
      </c>
      <c r="G14" s="2">
        <f>H14-F14</f>
        <v>83.9300000000001</v>
      </c>
      <c r="H14" s="2">
        <v>1066.68</v>
      </c>
      <c r="I14" s="2">
        <f>J14-H14</f>
        <v>42.8399999999999</v>
      </c>
      <c r="J14" s="2">
        <v>1109.52</v>
      </c>
      <c r="K14" s="2">
        <f>L14-J14</f>
        <v>36.46</v>
      </c>
      <c r="L14" s="2">
        <v>1145.98</v>
      </c>
      <c r="M14" s="2">
        <f>N14-L14</f>
        <v>37.49</v>
      </c>
      <c r="N14" s="2">
        <v>1183.47</v>
      </c>
      <c r="O14" s="2">
        <f>P14-N14</f>
        <v>33.3699999999999</v>
      </c>
      <c r="P14" s="2">
        <v>1216.84</v>
      </c>
      <c r="Q14" s="2">
        <f>R14-P14</f>
        <v>24.8900000000001</v>
      </c>
      <c r="R14" s="2">
        <v>1241.73</v>
      </c>
      <c r="S14" s="2">
        <f>T14-R14</f>
        <v>42.3099999999999</v>
      </c>
      <c r="T14" s="2">
        <v>1284.04</v>
      </c>
      <c r="U14" s="2">
        <f>V14-T14</f>
        <v>44.8400000000001</v>
      </c>
      <c r="V14" s="11">
        <v>1328.88</v>
      </c>
      <c r="W14" s="2">
        <f>X14-V14</f>
        <v>45.9499999999998</v>
      </c>
      <c r="X14" s="11">
        <v>1374.83</v>
      </c>
      <c r="Y14" s="2">
        <f>Z14-X14</f>
        <v>16.4200000000001</v>
      </c>
      <c r="Z14" s="2">
        <v>1391.25</v>
      </c>
      <c r="AA14" s="2">
        <f>AB14-Z14</f>
        <v>22.0699999999999</v>
      </c>
      <c r="AB14" s="2">
        <v>1413.32</v>
      </c>
      <c r="AC14" s="2">
        <f>AD14-AB14</f>
        <v>73.72</v>
      </c>
      <c r="AD14" s="2">
        <v>1487.04</v>
      </c>
      <c r="AE14" s="16">
        <f>AF14-AD14</f>
        <v>48.22</v>
      </c>
      <c r="AF14" s="16">
        <v>1535.26</v>
      </c>
      <c r="AG14" s="16">
        <f>AH14-AF14</f>
        <v>71.02</v>
      </c>
      <c r="AH14" s="16">
        <v>1606.28</v>
      </c>
      <c r="AI14" s="16">
        <f>AJ14-AH14</f>
        <v>28.3</v>
      </c>
      <c r="AJ14" s="16">
        <v>1634.58</v>
      </c>
      <c r="AK14" s="16">
        <f>AL14-AJ14</f>
        <v>36.1500000000001</v>
      </c>
      <c r="AL14" s="16">
        <v>1670.73</v>
      </c>
      <c r="AM14" s="16">
        <f>AN14-AL14</f>
        <v>43.6199999999999</v>
      </c>
      <c r="AN14" s="16">
        <v>1714.35</v>
      </c>
      <c r="AO14" s="16">
        <f>AP14-AN14</f>
        <v>46.1400000000001</v>
      </c>
      <c r="AP14" s="16">
        <v>1760.49</v>
      </c>
      <c r="AQ14" s="16">
        <f>AR14-AP14</f>
        <v>50.98</v>
      </c>
      <c r="AR14" s="16">
        <v>1811.47</v>
      </c>
      <c r="AS14" s="16">
        <f>AT14-AR14</f>
        <v>52.1700000000001</v>
      </c>
      <c r="AT14" s="16">
        <v>1863.64</v>
      </c>
      <c r="AU14" s="21">
        <f>AV14-AT14</f>
        <v>37.7199999999998</v>
      </c>
      <c r="AV14" s="21">
        <v>1901.36</v>
      </c>
      <c r="AW14" s="23">
        <f>AX14-AV14</f>
        <v>33.4300000000001</v>
      </c>
      <c r="AX14" s="23">
        <v>1934.79</v>
      </c>
      <c r="AY14" s="23">
        <f>AZ14-AX14</f>
        <v>20.3199999999999</v>
      </c>
      <c r="AZ14" s="23">
        <v>1955.11</v>
      </c>
      <c r="BA14" s="23">
        <f>BB14-AZ14</f>
        <v>28.1200000000001</v>
      </c>
      <c r="BB14" s="23">
        <v>1983.23</v>
      </c>
      <c r="BC14" s="23">
        <f>BD14-BB14</f>
        <v>21.6700000000001</v>
      </c>
      <c r="BD14" s="23">
        <v>2004.9</v>
      </c>
      <c r="BE14" s="21">
        <f>BF14-BD14</f>
        <v>57.4699999999998</v>
      </c>
      <c r="BF14" s="23">
        <v>2062.37</v>
      </c>
      <c r="BG14" s="23">
        <f>BH14-BF14</f>
        <v>33.2200000000003</v>
      </c>
      <c r="BH14" s="23">
        <v>2095.59</v>
      </c>
      <c r="BI14" s="23">
        <f>BJ14-BH14</f>
        <v>59.25</v>
      </c>
      <c r="BJ14" s="23">
        <v>2154.84</v>
      </c>
      <c r="BK14" s="23">
        <f>BL14-BJ14</f>
        <v>70.2599999999998</v>
      </c>
      <c r="BL14" s="23">
        <v>2225.1</v>
      </c>
      <c r="BM14" s="23">
        <f>BN14-BL14</f>
        <v>139.75</v>
      </c>
      <c r="BN14" s="23">
        <v>2364.85</v>
      </c>
      <c r="BO14" s="23">
        <f>BP14-BN14</f>
        <v>35.1900000000001</v>
      </c>
      <c r="BP14" s="23">
        <v>2400.04</v>
      </c>
      <c r="BQ14" s="23">
        <f>BR14-BP14</f>
        <v>38.2600000000002</v>
      </c>
      <c r="BR14" s="23">
        <v>2438.3</v>
      </c>
      <c r="BS14" s="23">
        <f>BT14-BR14</f>
        <v>42.98</v>
      </c>
      <c r="BT14" s="23">
        <v>2481.28</v>
      </c>
      <c r="BU14" s="23">
        <f>BV14-BT14</f>
        <v>33.7399999999998</v>
      </c>
      <c r="BV14" s="23">
        <v>2515.02</v>
      </c>
      <c r="BW14" s="23">
        <f>BX14-BV14</f>
        <v>14.29</v>
      </c>
      <c r="BX14" s="23">
        <v>2529.31</v>
      </c>
      <c r="BY14" s="23">
        <f>BZ14-BX14</f>
        <v>39.4500000000003</v>
      </c>
      <c r="BZ14" s="23">
        <v>2568.76</v>
      </c>
      <c r="CA14" s="23">
        <f>CB14-BZ14</f>
        <v>59.2299999999996</v>
      </c>
      <c r="CB14" s="23">
        <v>2627.99</v>
      </c>
      <c r="CC14" s="23">
        <f>CD14-CB14</f>
        <v>30.2800000000002</v>
      </c>
      <c r="CD14" s="23">
        <v>2658.27</v>
      </c>
      <c r="CE14" s="23">
        <f>CF14-CD14</f>
        <v>18.6500000000001</v>
      </c>
      <c r="CF14" s="23">
        <v>2676.92</v>
      </c>
      <c r="CG14" s="23">
        <f>CH14-CF14</f>
        <v>29.1300000000001</v>
      </c>
      <c r="CH14" s="23">
        <v>2706.05</v>
      </c>
      <c r="CI14" s="23">
        <f>CJ14-CH14</f>
        <v>27.7599999999998</v>
      </c>
      <c r="CJ14" s="23">
        <v>2733.81</v>
      </c>
      <c r="CK14" s="23">
        <f>CL14-CJ14</f>
        <v>69.4400000000001</v>
      </c>
      <c r="CL14" s="23">
        <v>2803.25</v>
      </c>
      <c r="CM14" s="23">
        <f>CN14-CL14</f>
        <v>25.6300000000001</v>
      </c>
      <c r="CN14" s="23">
        <v>2828.88</v>
      </c>
      <c r="CO14" s="23">
        <f>CP14-CN14</f>
        <v>44.1300000000001</v>
      </c>
      <c r="CP14" s="23">
        <v>2873.01</v>
      </c>
      <c r="CQ14" s="21" t="s">
        <v>71</v>
      </c>
      <c r="CR14" s="16">
        <v>1136.62</v>
      </c>
      <c r="CS14" s="16" t="s">
        <v>72</v>
      </c>
      <c r="CT14" s="16">
        <v>758.25</v>
      </c>
      <c r="CU14" s="2">
        <v>30</v>
      </c>
      <c r="CV14" s="2">
        <v>1</v>
      </c>
      <c r="CW14" s="2">
        <v>105419</v>
      </c>
      <c r="CX14" s="15">
        <f>2.527678/(CP14/CR14)</f>
        <v>0.999999780146954</v>
      </c>
      <c r="CY14" s="15">
        <f>BP14-D14</f>
        <v>1446.26</v>
      </c>
    </row>
    <row r="15" spans="1:103">
      <c r="A15" s="2" t="s">
        <v>98</v>
      </c>
      <c r="B15" s="2" t="s">
        <v>100</v>
      </c>
      <c r="C15" s="2" t="s">
        <v>97</v>
      </c>
      <c r="D15" s="2">
        <v>927.15</v>
      </c>
      <c r="E15" s="2">
        <f>F15-D15</f>
        <v>17.9300000000001</v>
      </c>
      <c r="F15" s="2">
        <v>945.08</v>
      </c>
      <c r="G15" s="2">
        <f>H15-F15</f>
        <v>24.04</v>
      </c>
      <c r="H15" s="2">
        <v>969.12</v>
      </c>
      <c r="I15" s="2">
        <f>J15-H15</f>
        <v>26.96</v>
      </c>
      <c r="J15" s="2">
        <v>996.08</v>
      </c>
      <c r="K15" s="2">
        <f>L15-J15</f>
        <v>23.3499999999999</v>
      </c>
      <c r="L15" s="2">
        <v>1019.43</v>
      </c>
      <c r="M15" s="2">
        <f>N15-L15</f>
        <v>23.7400000000001</v>
      </c>
      <c r="N15" s="2">
        <v>1043.17</v>
      </c>
      <c r="O15" s="2">
        <f>P15-N15</f>
        <v>24.99</v>
      </c>
      <c r="P15" s="2">
        <v>1068.16</v>
      </c>
      <c r="Q15" s="2">
        <f>R15-P15</f>
        <v>25.3499999999999</v>
      </c>
      <c r="R15" s="2">
        <v>1093.51</v>
      </c>
      <c r="S15" s="2">
        <f>T15-R15</f>
        <v>46.8499999999999</v>
      </c>
      <c r="T15" s="2">
        <v>1140.36</v>
      </c>
      <c r="U15" s="2">
        <f>V15-T15</f>
        <v>28.76</v>
      </c>
      <c r="V15" s="11">
        <v>1169.12</v>
      </c>
      <c r="W15" s="2">
        <f>X15-V15</f>
        <v>32.7600000000002</v>
      </c>
      <c r="X15" s="11">
        <v>1201.88</v>
      </c>
      <c r="Y15" s="2">
        <f>Z15-X15</f>
        <v>24.9599999999998</v>
      </c>
      <c r="Z15" s="2">
        <v>1226.84</v>
      </c>
      <c r="AA15" s="2">
        <f>AB15-Z15</f>
        <v>27.6900000000001</v>
      </c>
      <c r="AB15" s="2">
        <v>1254.53</v>
      </c>
      <c r="AC15" s="2">
        <f>AD15-AB15</f>
        <v>18.8900000000001</v>
      </c>
      <c r="AD15" s="2">
        <v>1273.42</v>
      </c>
      <c r="AE15" s="16">
        <f>AF15-AD15</f>
        <v>34.0999999999999</v>
      </c>
      <c r="AF15" s="16">
        <v>1307.52</v>
      </c>
      <c r="AG15" s="16">
        <f>AH15-AF15</f>
        <v>40.6600000000001</v>
      </c>
      <c r="AH15" s="16">
        <v>1348.18</v>
      </c>
      <c r="AI15" s="16">
        <f>AJ15-AH15</f>
        <v>31.0699999999999</v>
      </c>
      <c r="AJ15" s="16">
        <v>1379.25</v>
      </c>
      <c r="AK15" s="16">
        <f>AL15-AJ15</f>
        <v>30.6700000000001</v>
      </c>
      <c r="AL15" s="16">
        <v>1409.92</v>
      </c>
      <c r="AM15" s="16">
        <f>AN15-AL15</f>
        <v>17.21</v>
      </c>
      <c r="AN15" s="16">
        <v>1427.13</v>
      </c>
      <c r="AO15" s="16">
        <f>AP15-AN15</f>
        <v>20.4799999999998</v>
      </c>
      <c r="AP15" s="16">
        <v>1447.61</v>
      </c>
      <c r="AQ15" s="16">
        <f>AR15-AP15</f>
        <v>23.5400000000002</v>
      </c>
      <c r="AR15" s="16">
        <v>1471.15</v>
      </c>
      <c r="AS15" s="16">
        <f>AT15-AR15</f>
        <v>24.76</v>
      </c>
      <c r="AT15" s="16">
        <v>1495.91</v>
      </c>
      <c r="AU15" s="21">
        <f>AV15-AT15</f>
        <v>24.6599999999999</v>
      </c>
      <c r="AV15" s="21">
        <v>1520.57</v>
      </c>
      <c r="AW15" s="23">
        <f>AX15-AV15</f>
        <v>53.1500000000001</v>
      </c>
      <c r="AX15" s="23">
        <v>1573.72</v>
      </c>
      <c r="AY15" s="23">
        <f>AZ15-AX15</f>
        <v>18.8</v>
      </c>
      <c r="AZ15" s="23">
        <v>1592.52</v>
      </c>
      <c r="BA15" s="23">
        <f>BB15-AZ15</f>
        <v>44.6200000000001</v>
      </c>
      <c r="BB15" s="23">
        <v>1637.14</v>
      </c>
      <c r="BC15" s="23">
        <f>BD15-BB15</f>
        <v>13.6199999999999</v>
      </c>
      <c r="BD15" s="23">
        <v>1650.76</v>
      </c>
      <c r="BE15" s="21">
        <f>BF15-BD15</f>
        <v>25.55</v>
      </c>
      <c r="BF15" s="23">
        <v>1676.31</v>
      </c>
      <c r="BG15" s="23">
        <f>BH15-BF15</f>
        <v>80.8099999999999</v>
      </c>
      <c r="BH15" s="23">
        <v>1757.12</v>
      </c>
      <c r="BI15" s="23">
        <f>BJ15-BH15</f>
        <v>28.3500000000001</v>
      </c>
      <c r="BJ15" s="23">
        <v>1785.47</v>
      </c>
      <c r="BK15" s="23">
        <f>BL15-BJ15</f>
        <v>40.04</v>
      </c>
      <c r="BL15" s="23">
        <v>1825.51</v>
      </c>
      <c r="BM15" s="23">
        <f>BN15-BL15</f>
        <v>18</v>
      </c>
      <c r="BN15" s="23">
        <v>1843.51</v>
      </c>
      <c r="BO15" s="23">
        <f>BP15-BN15</f>
        <v>25.6200000000001</v>
      </c>
      <c r="BP15" s="23">
        <v>1869.13</v>
      </c>
      <c r="BQ15" s="23">
        <f>BR15-BP15</f>
        <v>20.27</v>
      </c>
      <c r="BR15" s="23">
        <v>1889.4</v>
      </c>
      <c r="BS15" s="23">
        <f>BT15-BR15</f>
        <v>52.5999999999999</v>
      </c>
      <c r="BT15" s="23">
        <v>1942</v>
      </c>
      <c r="BU15" s="23">
        <f>BV15-BT15</f>
        <v>37.49</v>
      </c>
      <c r="BV15" s="23">
        <v>1979.49</v>
      </c>
      <c r="BW15" s="23">
        <f>BX15-BV15</f>
        <v>50.1500000000001</v>
      </c>
      <c r="BX15" s="23">
        <v>2029.64</v>
      </c>
      <c r="BY15" s="23">
        <f>BZ15-BX15</f>
        <v>23.4399999999998</v>
      </c>
      <c r="BZ15" s="23">
        <v>2053.08</v>
      </c>
      <c r="CA15" s="23">
        <f>CB15-BZ15</f>
        <v>45.0999999999999</v>
      </c>
      <c r="CB15" s="23">
        <v>2098.18</v>
      </c>
      <c r="CC15" s="23">
        <f>CD15-CB15</f>
        <v>23.8000000000002</v>
      </c>
      <c r="CD15" s="23">
        <v>2121.98</v>
      </c>
      <c r="CE15" s="23">
        <f>CF15-CD15</f>
        <v>24.7800000000002</v>
      </c>
      <c r="CF15" s="23">
        <v>2146.76</v>
      </c>
      <c r="CG15" s="23">
        <f>CH15-CF15</f>
        <v>27.2999999999997</v>
      </c>
      <c r="CH15" s="23">
        <v>2174.06</v>
      </c>
      <c r="CI15" s="23">
        <f>CJ15-CH15</f>
        <v>36.7400000000002</v>
      </c>
      <c r="CJ15" s="23">
        <v>2210.8</v>
      </c>
      <c r="CK15" s="23">
        <f>CL15-CJ15</f>
        <v>29.4399999999996</v>
      </c>
      <c r="CL15" s="23">
        <v>2240.24</v>
      </c>
      <c r="CM15" s="23">
        <f>CN15-CL15</f>
        <v>45.2800000000002</v>
      </c>
      <c r="CN15" s="23">
        <v>2285.52</v>
      </c>
      <c r="CO15" s="23">
        <f>CP15-CN15</f>
        <v>41.7199999999998</v>
      </c>
      <c r="CP15" s="23">
        <v>2327.24</v>
      </c>
      <c r="CQ15" s="21" t="s">
        <v>93</v>
      </c>
      <c r="CR15" s="16">
        <v>515.06</v>
      </c>
      <c r="CS15" s="18" t="s">
        <v>101</v>
      </c>
      <c r="CT15" s="18">
        <v>438.91</v>
      </c>
      <c r="CU15" s="8">
        <v>10</v>
      </c>
      <c r="CV15" s="8">
        <v>1.1</v>
      </c>
      <c r="CW15" s="8">
        <v>80664</v>
      </c>
      <c r="CX15" s="15">
        <f>2.527678/(CP15/CR15)</f>
        <v>0.559420528471494</v>
      </c>
      <c r="CY15" s="15">
        <f>BP15-D15</f>
        <v>941.98</v>
      </c>
    </row>
    <row r="16" spans="1:103">
      <c r="A16" s="7" t="s">
        <v>77</v>
      </c>
      <c r="B16" s="7" t="s">
        <v>102</v>
      </c>
      <c r="C16" s="7" t="s">
        <v>62</v>
      </c>
      <c r="D16" s="7">
        <v>2136.24</v>
      </c>
      <c r="E16" s="7">
        <f>F16-D16</f>
        <v>40.8200000000002</v>
      </c>
      <c r="F16" s="7">
        <v>2177.06</v>
      </c>
      <c r="G16" s="7">
        <f>H16-F16</f>
        <v>62.5999999999999</v>
      </c>
      <c r="H16" s="7">
        <v>2239.66</v>
      </c>
      <c r="I16" s="7">
        <f>J16-H16</f>
        <v>47.0700000000002</v>
      </c>
      <c r="J16" s="7">
        <v>2286.73</v>
      </c>
      <c r="K16" s="7">
        <f>L16-J16</f>
        <v>25.52</v>
      </c>
      <c r="L16" s="7">
        <v>2312.25</v>
      </c>
      <c r="M16" s="7">
        <f>N16-L16</f>
        <v>36.7800000000002</v>
      </c>
      <c r="N16" s="7">
        <v>2349.03</v>
      </c>
      <c r="O16" s="7">
        <f>P16-N16</f>
        <v>-18.02</v>
      </c>
      <c r="P16" s="7">
        <v>2331.01</v>
      </c>
      <c r="Q16" s="7">
        <f>R16-P16</f>
        <v>62.7599999999998</v>
      </c>
      <c r="R16" s="7">
        <v>2393.77</v>
      </c>
      <c r="S16" s="7">
        <f>T16-R16</f>
        <v>55.5599999999999</v>
      </c>
      <c r="T16" s="7">
        <v>2449.33</v>
      </c>
      <c r="U16" s="7">
        <f>V16-T16</f>
        <v>31.96</v>
      </c>
      <c r="V16" s="10">
        <v>2481.29</v>
      </c>
      <c r="W16" s="7">
        <f>X16-V16</f>
        <v>109.47</v>
      </c>
      <c r="X16" s="10">
        <v>2590.76</v>
      </c>
      <c r="Y16" s="7">
        <f>Z16-X16</f>
        <v>20.4299999999998</v>
      </c>
      <c r="Z16" s="7">
        <v>2611.19</v>
      </c>
      <c r="AA16" s="7">
        <f>AB16-Z16</f>
        <v>32.9899999999998</v>
      </c>
      <c r="AB16" s="7">
        <v>2644.18</v>
      </c>
      <c r="AC16" s="7">
        <f>AD16-AB16</f>
        <v>45.9000000000001</v>
      </c>
      <c r="AD16" s="7">
        <v>2690.08</v>
      </c>
      <c r="AE16" s="15">
        <f>AF16-AD16</f>
        <v>62.79</v>
      </c>
      <c r="AF16" s="15">
        <v>2752.87</v>
      </c>
      <c r="AG16" s="15">
        <f>AH16-AF16</f>
        <v>72.2800000000002</v>
      </c>
      <c r="AH16" s="15">
        <v>2825.15</v>
      </c>
      <c r="AI16" s="15">
        <f>AJ16-AH16</f>
        <v>38.1900000000001</v>
      </c>
      <c r="AJ16" s="15">
        <v>2863.34</v>
      </c>
      <c r="AK16" s="15">
        <f>AL16-AJ16</f>
        <v>82.1299999999997</v>
      </c>
      <c r="AL16" s="15">
        <v>2945.47</v>
      </c>
      <c r="AM16" s="15">
        <f>AN16-AL16</f>
        <v>39.5400000000004</v>
      </c>
      <c r="AN16" s="15">
        <v>2985.01</v>
      </c>
      <c r="AO16" s="15">
        <f>AP16-AN16</f>
        <v>42.0499999999997</v>
      </c>
      <c r="AP16" s="15">
        <v>3027.06</v>
      </c>
      <c r="AQ16" s="15">
        <f>AR16-AP16</f>
        <v>50.5799999999999</v>
      </c>
      <c r="AR16" s="15">
        <v>3077.64</v>
      </c>
      <c r="AS16" s="15">
        <f>AT16-AR16</f>
        <v>42.5599999999999</v>
      </c>
      <c r="AT16" s="15">
        <v>3120.2</v>
      </c>
      <c r="AU16" s="20">
        <f>AV16-AT16</f>
        <v>91.8800000000001</v>
      </c>
      <c r="AV16" s="20">
        <v>3212.08</v>
      </c>
      <c r="AW16" s="26">
        <f>AX16-AV16</f>
        <v>74.0500000000002</v>
      </c>
      <c r="AX16" s="26">
        <v>3286.13</v>
      </c>
      <c r="AY16" s="26">
        <f>AZ16-AX16</f>
        <v>43.98</v>
      </c>
      <c r="AZ16" s="26">
        <v>3330.11</v>
      </c>
      <c r="BA16" s="26">
        <f>BB16-AZ16</f>
        <v>35.3499999999999</v>
      </c>
      <c r="BB16" s="26">
        <v>3365.46</v>
      </c>
      <c r="BC16" s="26">
        <f>BD16-BB16</f>
        <v>38.3899999999999</v>
      </c>
      <c r="BD16" s="26">
        <v>3403.85</v>
      </c>
      <c r="BE16" s="20">
        <f>BF16-BD16</f>
        <v>53.21</v>
      </c>
      <c r="BF16" s="26">
        <v>3457.06</v>
      </c>
      <c r="BG16" s="26">
        <f>BH16-BF16</f>
        <v>115.36</v>
      </c>
      <c r="BH16" s="26">
        <v>3572.42</v>
      </c>
      <c r="BI16" s="26">
        <f>BJ16-BH16</f>
        <v>19.0799999999999</v>
      </c>
      <c r="BJ16" s="26">
        <v>3591.5</v>
      </c>
      <c r="BK16" s="26">
        <f>BL16-BJ16</f>
        <v>50.9499999999998</v>
      </c>
      <c r="BL16" s="26">
        <v>3642.45</v>
      </c>
      <c r="BM16" s="26">
        <f>BN16-BL16</f>
        <v>32.1300000000001</v>
      </c>
      <c r="BN16" s="26">
        <v>3674.58</v>
      </c>
      <c r="BO16" s="26">
        <f>BP16-BN16</f>
        <v>46.4099999999999</v>
      </c>
      <c r="BP16" s="26">
        <v>3720.99</v>
      </c>
      <c r="BQ16" s="26">
        <f>BR16-BP16</f>
        <v>52.0300000000002</v>
      </c>
      <c r="BR16" s="26">
        <v>3773.02</v>
      </c>
      <c r="BS16" s="26">
        <f>BT16-BR16</f>
        <v>27.8600000000001</v>
      </c>
      <c r="BT16" s="26">
        <v>3800.88</v>
      </c>
      <c r="BU16" s="26">
        <f>BV16-BT16</f>
        <v>49.29</v>
      </c>
      <c r="BV16" s="26">
        <v>3850.17</v>
      </c>
      <c r="BW16" s="26">
        <f>BX16-BV16</f>
        <v>124.53</v>
      </c>
      <c r="BX16" s="26">
        <v>3974.7</v>
      </c>
      <c r="BY16" s="26">
        <f>BZ16-BX16</f>
        <v>10.3200000000002</v>
      </c>
      <c r="BZ16" s="26">
        <v>3985.02</v>
      </c>
      <c r="CA16" s="26">
        <f>CB16-BZ16</f>
        <v>123.75</v>
      </c>
      <c r="CB16" s="26">
        <v>4108.77</v>
      </c>
      <c r="CC16" s="26">
        <f>CD16-CB16</f>
        <v>30.1999999999998</v>
      </c>
      <c r="CD16" s="26">
        <v>4138.97</v>
      </c>
      <c r="CE16" s="26">
        <f>CF16-CD16</f>
        <v>28.96</v>
      </c>
      <c r="CF16" s="26">
        <v>4167.93</v>
      </c>
      <c r="CG16" s="26">
        <f>CH16-CF16</f>
        <v>87.5099999999993</v>
      </c>
      <c r="CH16" s="26">
        <v>4255.44</v>
      </c>
      <c r="CI16" s="26">
        <f>CJ16-CH16</f>
        <v>49.25</v>
      </c>
      <c r="CJ16" s="26">
        <v>4304.69</v>
      </c>
      <c r="CK16" s="26">
        <f>CL16-CJ16</f>
        <v>26.9800000000005</v>
      </c>
      <c r="CL16" s="26">
        <v>4331.67</v>
      </c>
      <c r="CM16" s="26">
        <f>CN16-CL16</f>
        <v>20.75</v>
      </c>
      <c r="CN16" s="26">
        <v>4352.42</v>
      </c>
      <c r="CO16" s="26">
        <f>CP16-CN16</f>
        <v>33.1000000000004</v>
      </c>
      <c r="CP16" s="26">
        <v>4385.52</v>
      </c>
      <c r="CQ16" s="20" t="s">
        <v>103</v>
      </c>
      <c r="CR16" s="15">
        <v>1569.02</v>
      </c>
      <c r="CS16" s="31" t="s">
        <v>104</v>
      </c>
      <c r="CT16" s="31">
        <v>1211.82</v>
      </c>
      <c r="CU16" s="32">
        <v>20</v>
      </c>
      <c r="CV16" s="32">
        <v>1.2</v>
      </c>
      <c r="CW16" s="32">
        <v>153852</v>
      </c>
      <c r="CX16" s="15">
        <f>2.527678/(CP16/CR16)</f>
        <v>0.904334568206279</v>
      </c>
      <c r="CY16" s="15">
        <f>BP16-D16</f>
        <v>1584.75</v>
      </c>
    </row>
    <row r="17" spans="1:103">
      <c r="A17" s="2" t="s">
        <v>77</v>
      </c>
      <c r="B17" s="2" t="s">
        <v>105</v>
      </c>
      <c r="C17" s="2" t="s">
        <v>83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11"/>
      <c r="W17" s="2"/>
      <c r="X17" s="11"/>
      <c r="Y17" s="2"/>
      <c r="Z17" s="2"/>
      <c r="AA17" s="2"/>
      <c r="AB17" s="2"/>
      <c r="AC17" s="2"/>
      <c r="AD17" s="2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>
        <v>1644.57</v>
      </c>
      <c r="AS17" s="16">
        <f>AT17-AR17</f>
        <v>0</v>
      </c>
      <c r="AT17" s="16">
        <v>1644.57</v>
      </c>
      <c r="AU17" s="21">
        <f>AV17-AT17</f>
        <v>31.0700000000002</v>
      </c>
      <c r="AV17" s="21">
        <v>1675.64</v>
      </c>
      <c r="AW17" s="23">
        <f>AX17-AV17</f>
        <v>13.9599999999998</v>
      </c>
      <c r="AX17" s="23">
        <v>1689.6</v>
      </c>
      <c r="AY17" s="23">
        <f>AZ17-AX17</f>
        <v>44.99</v>
      </c>
      <c r="AZ17" s="23">
        <v>1734.59</v>
      </c>
      <c r="BA17" s="23">
        <f>BB17-AZ17</f>
        <v>31.1600000000001</v>
      </c>
      <c r="BB17" s="23">
        <v>1765.75</v>
      </c>
      <c r="BC17" s="23">
        <f>BD17-BB17</f>
        <v>39.9200000000001</v>
      </c>
      <c r="BD17" s="23">
        <v>1805.67</v>
      </c>
      <c r="BE17" s="21">
        <f>BF17-BD17</f>
        <v>42.21</v>
      </c>
      <c r="BF17" s="23">
        <v>1847.88</v>
      </c>
      <c r="BG17" s="23">
        <f>BH17-BF17</f>
        <v>86</v>
      </c>
      <c r="BH17" s="23">
        <v>1933.88</v>
      </c>
      <c r="BI17" s="23">
        <f>BJ17-BH17</f>
        <v>21.8499999999999</v>
      </c>
      <c r="BJ17" s="23">
        <v>1955.73</v>
      </c>
      <c r="BK17" s="23">
        <f>BL17-BJ17</f>
        <v>26.3099999999999</v>
      </c>
      <c r="BL17" s="23">
        <v>1982.04</v>
      </c>
      <c r="BM17" s="23">
        <f>BN17-BL17</f>
        <v>26.51</v>
      </c>
      <c r="BN17" s="23">
        <v>2008.55</v>
      </c>
      <c r="BO17" s="23">
        <f>BP17-BN17</f>
        <v>20.71</v>
      </c>
      <c r="BP17" s="23">
        <v>2029.26</v>
      </c>
      <c r="BQ17" s="23">
        <f>BR17-BP17</f>
        <v>63.0800000000002</v>
      </c>
      <c r="BR17" s="23">
        <v>2092.34</v>
      </c>
      <c r="BS17" s="23">
        <f>BT17-BR17</f>
        <v>4.29999999999973</v>
      </c>
      <c r="BT17" s="23">
        <v>2096.64</v>
      </c>
      <c r="BU17" s="23">
        <f>BV17-BT17</f>
        <v>0.720000000000255</v>
      </c>
      <c r="BV17" s="23">
        <v>2097.36</v>
      </c>
      <c r="BW17" s="23">
        <f>BX17-BV17</f>
        <v>0</v>
      </c>
      <c r="BX17" s="23">
        <v>2097.36</v>
      </c>
      <c r="BY17" s="23">
        <f>BZ17-BX17</f>
        <v>0.0199999999999818</v>
      </c>
      <c r="BZ17" s="23">
        <v>2097.38</v>
      </c>
      <c r="CA17" s="23">
        <f>CB17-BZ17</f>
        <v>30.5899999999997</v>
      </c>
      <c r="CB17" s="23">
        <v>2127.97</v>
      </c>
      <c r="CC17" s="23">
        <f>CD17-CB17</f>
        <v>62.5300000000002</v>
      </c>
      <c r="CD17" s="23">
        <v>2190.5</v>
      </c>
      <c r="CE17" s="23">
        <f>CF17-CD17</f>
        <v>49.0500000000002</v>
      </c>
      <c r="CF17" s="23">
        <v>2239.55</v>
      </c>
      <c r="CG17" s="23">
        <f>CH17-CF17</f>
        <v>52.2599999999998</v>
      </c>
      <c r="CH17" s="23">
        <v>2291.81</v>
      </c>
      <c r="CI17" s="23">
        <f>CJ17-CH17</f>
        <v>48.0300000000002</v>
      </c>
      <c r="CJ17" s="23">
        <v>2339.84</v>
      </c>
      <c r="CK17" s="23">
        <f>CL17-CJ17</f>
        <v>56.8499999999999</v>
      </c>
      <c r="CL17" s="23">
        <v>2396.69</v>
      </c>
      <c r="CM17" s="23">
        <f>CN17-CL17</f>
        <v>35.73</v>
      </c>
      <c r="CN17" s="23">
        <v>2432.42</v>
      </c>
      <c r="CO17" s="23">
        <f>CP17-CN17</f>
        <v>31.79</v>
      </c>
      <c r="CP17" s="23">
        <v>2464.21</v>
      </c>
      <c r="CQ17" s="21" t="s">
        <v>101</v>
      </c>
      <c r="CR17" s="16">
        <v>484.79</v>
      </c>
      <c r="CS17" s="16" t="s">
        <v>93</v>
      </c>
      <c r="CT17" s="16">
        <v>367.24</v>
      </c>
      <c r="CU17" s="8"/>
      <c r="CV17" s="8"/>
      <c r="CW17" s="8"/>
      <c r="CX17" s="15">
        <f>2.527678/(CP17/CR17)</f>
        <v>0.497276213317858</v>
      </c>
      <c r="CY17" s="15">
        <f>BP17-D17</f>
        <v>2029.26</v>
      </c>
    </row>
    <row r="18" spans="1:103">
      <c r="A18" s="8" t="s">
        <v>60</v>
      </c>
      <c r="B18" s="8" t="s">
        <v>106</v>
      </c>
      <c r="C18" s="8" t="s">
        <v>97</v>
      </c>
      <c r="D18" s="8">
        <v>363.88</v>
      </c>
      <c r="E18" s="8">
        <f>F18-D18</f>
        <v>14.21</v>
      </c>
      <c r="F18" s="8">
        <v>378.09</v>
      </c>
      <c r="G18" s="8">
        <f>H18-F18</f>
        <v>11.22</v>
      </c>
      <c r="H18" s="8">
        <v>389.31</v>
      </c>
      <c r="I18" s="8">
        <f>J18-H18</f>
        <v>13.62</v>
      </c>
      <c r="J18" s="8">
        <v>402.93</v>
      </c>
      <c r="K18" s="8">
        <f>L18-J18</f>
        <v>11.13</v>
      </c>
      <c r="L18" s="8">
        <v>414.06</v>
      </c>
      <c r="M18" s="8">
        <f>N18-L18</f>
        <v>17.39</v>
      </c>
      <c r="N18" s="8">
        <v>431.45</v>
      </c>
      <c r="O18" s="8">
        <f>P18-N18</f>
        <v>6.32999999999998</v>
      </c>
      <c r="P18" s="8">
        <v>437.78</v>
      </c>
      <c r="Q18" s="8">
        <f>R18-P18</f>
        <v>53.01</v>
      </c>
      <c r="R18" s="8">
        <v>490.79</v>
      </c>
      <c r="S18" s="8">
        <f>T18-R18</f>
        <v>11.82</v>
      </c>
      <c r="T18" s="8">
        <v>502.61</v>
      </c>
      <c r="U18" s="8">
        <f>V18-T18</f>
        <v>19.3099999999999</v>
      </c>
      <c r="V18" s="13">
        <v>521.92</v>
      </c>
      <c r="W18" s="8">
        <f>X18-V18</f>
        <v>29.5400000000001</v>
      </c>
      <c r="X18" s="13">
        <v>551.46</v>
      </c>
      <c r="Y18" s="8">
        <f>Z18-X18</f>
        <v>36.98</v>
      </c>
      <c r="Z18" s="8">
        <v>588.44</v>
      </c>
      <c r="AA18" s="8">
        <f>AB18-Z18</f>
        <v>21.17</v>
      </c>
      <c r="AB18" s="8">
        <v>609.61</v>
      </c>
      <c r="AC18" s="8">
        <f>AD18-AB18</f>
        <v>17.4399999999999</v>
      </c>
      <c r="AD18" s="8">
        <v>627.05</v>
      </c>
      <c r="AE18" s="18">
        <f>AF18-AD18</f>
        <v>21.0500000000001</v>
      </c>
      <c r="AF18" s="18">
        <v>648.1</v>
      </c>
      <c r="AG18" s="18">
        <f>AH18-AF18</f>
        <v>37.27</v>
      </c>
      <c r="AH18" s="18">
        <v>685.37</v>
      </c>
      <c r="AI18" s="18">
        <f>AJ18-AH18</f>
        <v>25.0700000000001</v>
      </c>
      <c r="AJ18" s="18">
        <v>710.44</v>
      </c>
      <c r="AK18" s="18">
        <f>AL18-AJ18</f>
        <v>22.64</v>
      </c>
      <c r="AL18" s="18">
        <v>733.08</v>
      </c>
      <c r="AM18" s="18">
        <f>AN18-AL18</f>
        <v>28.76</v>
      </c>
      <c r="AN18" s="18">
        <v>761.84</v>
      </c>
      <c r="AO18" s="18">
        <f>AP18-AN18</f>
        <v>12.24</v>
      </c>
      <c r="AP18" s="18">
        <v>774.08</v>
      </c>
      <c r="AQ18" s="18">
        <f>AR18-AP18</f>
        <v>29.39</v>
      </c>
      <c r="AR18" s="18">
        <v>803.47</v>
      </c>
      <c r="AS18" s="18">
        <f>AT18-AR18</f>
        <v>33.97</v>
      </c>
      <c r="AT18" s="18">
        <v>837.44</v>
      </c>
      <c r="AU18" s="24">
        <f>AV18-AT18</f>
        <v>29.6999999999999</v>
      </c>
      <c r="AV18" s="24">
        <v>867.14</v>
      </c>
      <c r="AW18" s="28">
        <f>AX18-AV18</f>
        <v>21.75</v>
      </c>
      <c r="AX18" s="28">
        <v>888.89</v>
      </c>
      <c r="AY18" s="28">
        <f>AZ18-AX18</f>
        <v>37.0600000000001</v>
      </c>
      <c r="AZ18" s="28">
        <v>925.95</v>
      </c>
      <c r="BA18" s="28">
        <f>BB18-AZ18</f>
        <v>14.3</v>
      </c>
      <c r="BB18" s="28">
        <v>940.25</v>
      </c>
      <c r="BC18" s="28">
        <f>BD18-BB18</f>
        <v>12.04</v>
      </c>
      <c r="BD18" s="28">
        <v>952.29</v>
      </c>
      <c r="BE18" s="24">
        <f>BF18-BD18</f>
        <v>39.5300000000001</v>
      </c>
      <c r="BF18" s="28">
        <v>991.82</v>
      </c>
      <c r="BG18" s="28">
        <f>BH18-BF18</f>
        <v>38.2599999999999</v>
      </c>
      <c r="BH18" s="28">
        <v>1030.08</v>
      </c>
      <c r="BI18" s="28">
        <f>BJ18-BH18</f>
        <v>35.53</v>
      </c>
      <c r="BJ18" s="28">
        <v>1065.61</v>
      </c>
      <c r="BK18" s="28">
        <f>BL18-BJ18</f>
        <v>36.8300000000002</v>
      </c>
      <c r="BL18" s="28">
        <v>1102.44</v>
      </c>
      <c r="BM18" s="28">
        <f>BN18-BL18</f>
        <v>30.4199999999998</v>
      </c>
      <c r="BN18" s="28">
        <v>1132.86</v>
      </c>
      <c r="BO18" s="28">
        <f>BP18-BN18</f>
        <v>21.5400000000002</v>
      </c>
      <c r="BP18" s="28">
        <v>1154.4</v>
      </c>
      <c r="BQ18" s="28">
        <f>BR18-BP18</f>
        <v>41.52</v>
      </c>
      <c r="BR18" s="28">
        <v>1195.92</v>
      </c>
      <c r="BS18" s="28">
        <f>BT18-BR18</f>
        <v>10.8</v>
      </c>
      <c r="BT18" s="28">
        <v>1206.72</v>
      </c>
      <c r="BU18" s="28">
        <f>BV18-BT18</f>
        <v>13.96</v>
      </c>
      <c r="BV18" s="28">
        <v>1220.68</v>
      </c>
      <c r="BW18" s="28">
        <f>BX18-BV18</f>
        <v>10.74</v>
      </c>
      <c r="BX18" s="28">
        <v>1231.42</v>
      </c>
      <c r="BY18" s="28">
        <f>BZ18-BX18</f>
        <v>28.03</v>
      </c>
      <c r="BZ18" s="28">
        <v>1259.45</v>
      </c>
      <c r="CA18" s="28">
        <f>CB18-BZ18</f>
        <v>47.29</v>
      </c>
      <c r="CB18" s="28">
        <v>1306.74</v>
      </c>
      <c r="CC18" s="28">
        <f>CD18-CB18</f>
        <v>22.47</v>
      </c>
      <c r="CD18" s="28">
        <v>1329.21</v>
      </c>
      <c r="CE18" s="28">
        <f>CF18-CD18</f>
        <v>9.03999999999996</v>
      </c>
      <c r="CF18" s="28">
        <v>1338.25</v>
      </c>
      <c r="CG18" s="28">
        <f>CH18-CF18</f>
        <v>24.3599999999999</v>
      </c>
      <c r="CH18" s="28">
        <v>1362.61</v>
      </c>
      <c r="CI18" s="28">
        <f>CJ18-CH18</f>
        <v>22.9300000000001</v>
      </c>
      <c r="CJ18" s="28">
        <v>1385.54</v>
      </c>
      <c r="CK18" s="28">
        <f>CL18-CJ18</f>
        <v>29.2</v>
      </c>
      <c r="CL18" s="28">
        <v>1414.74</v>
      </c>
      <c r="CM18" s="28">
        <f>CN18-CL18</f>
        <v>13.6700000000001</v>
      </c>
      <c r="CN18" s="28">
        <v>1428.41</v>
      </c>
      <c r="CO18" s="28">
        <f>CP18-CN18</f>
        <v>28.1699999999998</v>
      </c>
      <c r="CP18" s="28">
        <v>1456.58</v>
      </c>
      <c r="CQ18" s="24" t="s">
        <v>93</v>
      </c>
      <c r="CR18" s="18">
        <v>505.26</v>
      </c>
      <c r="CS18" s="18" t="s">
        <v>101</v>
      </c>
      <c r="CT18" s="18">
        <v>368.34</v>
      </c>
      <c r="CU18" s="8">
        <v>0</v>
      </c>
      <c r="CV18" s="8">
        <v>1</v>
      </c>
      <c r="CW18" s="8">
        <v>47256</v>
      </c>
      <c r="CX18" s="15">
        <f>2.527678/(CP18/CR18)</f>
        <v>0.876803599033352</v>
      </c>
      <c r="CY18" s="15">
        <f>BP18-D18</f>
        <v>790.52</v>
      </c>
    </row>
    <row r="19" spans="1:103">
      <c r="A19" s="7" t="s">
        <v>107</v>
      </c>
      <c r="B19" s="7" t="s">
        <v>108</v>
      </c>
      <c r="C19" s="7" t="s">
        <v>62</v>
      </c>
      <c r="D19" s="7">
        <v>2533.85</v>
      </c>
      <c r="E19" s="7">
        <f>F19-D19</f>
        <v>50.0500000000002</v>
      </c>
      <c r="F19" s="7">
        <v>2583.9</v>
      </c>
      <c r="G19" s="7">
        <f>H19-F19</f>
        <v>85.7599999999998</v>
      </c>
      <c r="H19" s="7">
        <v>2669.66</v>
      </c>
      <c r="I19" s="7">
        <f>J19-H19</f>
        <v>81.79</v>
      </c>
      <c r="J19" s="7">
        <v>2751.45</v>
      </c>
      <c r="K19" s="7">
        <f>L19-J19</f>
        <v>83.1700000000001</v>
      </c>
      <c r="L19" s="7">
        <v>2834.62</v>
      </c>
      <c r="M19" s="7">
        <f>N19-L19</f>
        <v>56.9900000000002</v>
      </c>
      <c r="N19" s="7">
        <v>2891.61</v>
      </c>
      <c r="O19" s="7">
        <f>P19-N19</f>
        <v>103.98</v>
      </c>
      <c r="P19" s="7">
        <v>2995.59</v>
      </c>
      <c r="Q19" s="7">
        <f>R19-P19</f>
        <v>68.8499999999999</v>
      </c>
      <c r="R19" s="7">
        <v>3064.44</v>
      </c>
      <c r="S19" s="7">
        <f>T19-R19</f>
        <v>47.6100000000001</v>
      </c>
      <c r="T19" s="7">
        <v>3112.05</v>
      </c>
      <c r="U19" s="7">
        <f>V19-T19</f>
        <v>38.1599999999999</v>
      </c>
      <c r="V19" s="10">
        <v>3150.21</v>
      </c>
      <c r="W19" s="7">
        <f>X19-V19</f>
        <v>146.1</v>
      </c>
      <c r="X19" s="10">
        <v>3296.31</v>
      </c>
      <c r="Y19" s="7">
        <f>Z19-X19</f>
        <v>31.9400000000001</v>
      </c>
      <c r="Z19" s="7">
        <v>3328.25</v>
      </c>
      <c r="AA19" s="7">
        <f>AB19-Z19</f>
        <v>79.8800000000001</v>
      </c>
      <c r="AB19" s="7">
        <v>3408.13</v>
      </c>
      <c r="AC19" s="7">
        <f>AD19-AB19</f>
        <v>68.9099999999999</v>
      </c>
      <c r="AD19" s="7">
        <v>3477.04</v>
      </c>
      <c r="AE19" s="15">
        <f>AF19-AD19</f>
        <v>143.74</v>
      </c>
      <c r="AF19" s="15">
        <v>3620.78</v>
      </c>
      <c r="AG19" s="15">
        <f>AH19-AF19</f>
        <v>82.0999999999999</v>
      </c>
      <c r="AH19" s="15">
        <v>3702.88</v>
      </c>
      <c r="AI19" s="15">
        <f>AJ19-AH19</f>
        <v>111.1</v>
      </c>
      <c r="AJ19" s="15">
        <v>3813.98</v>
      </c>
      <c r="AK19" s="15">
        <f>AL19-AJ19</f>
        <v>119.59</v>
      </c>
      <c r="AL19" s="15">
        <v>3933.57</v>
      </c>
      <c r="AM19" s="15">
        <f>AN19-AL19</f>
        <v>39.71</v>
      </c>
      <c r="AN19" s="15">
        <v>3973.28</v>
      </c>
      <c r="AO19" s="15">
        <f>AP19-AN19</f>
        <v>94.1399999999999</v>
      </c>
      <c r="AP19" s="15">
        <v>4067.42</v>
      </c>
      <c r="AQ19" s="15">
        <f>AR19-AP19</f>
        <v>51.1800000000003</v>
      </c>
      <c r="AR19" s="15">
        <v>4118.6</v>
      </c>
      <c r="AS19" s="15">
        <f>AT19-AR19</f>
        <v>33.4499999999998</v>
      </c>
      <c r="AT19" s="15">
        <v>4152.05</v>
      </c>
      <c r="AU19" s="20">
        <f>AV19-AT19</f>
        <v>31.5199999999995</v>
      </c>
      <c r="AV19" s="20">
        <v>4183.57</v>
      </c>
      <c r="AW19" s="26">
        <f>AX19-AV19</f>
        <v>33.7400000000007</v>
      </c>
      <c r="AX19" s="26">
        <v>4217.31</v>
      </c>
      <c r="AY19" s="26">
        <f>AZ19-AX19</f>
        <v>64.8499999999995</v>
      </c>
      <c r="AZ19" s="26">
        <v>4282.16</v>
      </c>
      <c r="BA19" s="26">
        <f>BB19-AZ19</f>
        <v>25.75</v>
      </c>
      <c r="BB19" s="26">
        <v>4307.91</v>
      </c>
      <c r="BC19" s="26">
        <f>BD19-BB19</f>
        <v>42.4400000000005</v>
      </c>
      <c r="BD19" s="26">
        <v>4350.35</v>
      </c>
      <c r="BE19" s="20">
        <f>BF19-BD19</f>
        <v>98.5899999999992</v>
      </c>
      <c r="BF19" s="26">
        <v>4448.94</v>
      </c>
      <c r="BG19" s="26">
        <f>BH19-BF19</f>
        <v>93.3700000000008</v>
      </c>
      <c r="BH19" s="26">
        <v>4542.31</v>
      </c>
      <c r="BI19" s="26">
        <f>BJ19-BH19</f>
        <v>105.799999999999</v>
      </c>
      <c r="BJ19" s="26">
        <v>4648.11</v>
      </c>
      <c r="BK19" s="26">
        <f>BL19-BJ19</f>
        <v>49.4700000000003</v>
      </c>
      <c r="BL19" s="26">
        <v>4697.58</v>
      </c>
      <c r="BM19" s="26">
        <f>BN19-BL19</f>
        <v>57.8599999999997</v>
      </c>
      <c r="BN19" s="26">
        <v>4755.44</v>
      </c>
      <c r="BO19" s="26">
        <f>BP19-BN19</f>
        <v>55.5500000000002</v>
      </c>
      <c r="BP19" s="26">
        <v>4810.99</v>
      </c>
      <c r="BQ19" s="26">
        <f>BR19-BP19</f>
        <v>63.8900000000003</v>
      </c>
      <c r="BR19" s="26">
        <v>4874.88</v>
      </c>
      <c r="BS19" s="26">
        <f>BT19-BR19</f>
        <v>54.25</v>
      </c>
      <c r="BT19" s="26">
        <v>4929.13</v>
      </c>
      <c r="BU19" s="26">
        <f>BV19-BT19</f>
        <v>68.8800000000001</v>
      </c>
      <c r="BV19" s="26">
        <v>4998.01</v>
      </c>
      <c r="BW19" s="26">
        <f>BX19-BV19</f>
        <v>72.1899999999996</v>
      </c>
      <c r="BX19" s="26">
        <v>5070.2</v>
      </c>
      <c r="BY19" s="26">
        <f>BZ19-BX19</f>
        <v>38.8299999999999</v>
      </c>
      <c r="BZ19" s="26">
        <v>5109.03</v>
      </c>
      <c r="CA19" s="26">
        <f>CB19-BZ19</f>
        <v>102.610000000001</v>
      </c>
      <c r="CB19" s="26">
        <v>5211.64</v>
      </c>
      <c r="CC19" s="26">
        <f>CD19-CB19</f>
        <v>59.3199999999997</v>
      </c>
      <c r="CD19" s="26">
        <v>5270.96</v>
      </c>
      <c r="CE19" s="26">
        <f>CF19-CD19</f>
        <v>63.2200000000003</v>
      </c>
      <c r="CF19" s="26">
        <v>5334.18</v>
      </c>
      <c r="CG19" s="26">
        <f>CH19-CF19</f>
        <v>272.25</v>
      </c>
      <c r="CH19" s="26">
        <v>5606.43</v>
      </c>
      <c r="CI19" s="26">
        <f>CJ19-CH19</f>
        <v>78.3599999999997</v>
      </c>
      <c r="CJ19" s="26">
        <v>5684.79</v>
      </c>
      <c r="CK19" s="26">
        <f>CL19-CJ19</f>
        <v>116.21</v>
      </c>
      <c r="CL19" s="26">
        <v>5801</v>
      </c>
      <c r="CM19" s="26">
        <f>CN19-CL19</f>
        <v>62.1700000000001</v>
      </c>
      <c r="CN19" s="26">
        <v>5863.17</v>
      </c>
      <c r="CO19" s="26">
        <f>CP19-CN19</f>
        <v>27.79</v>
      </c>
      <c r="CP19" s="26">
        <v>5890.96</v>
      </c>
      <c r="CQ19" s="20" t="s">
        <v>63</v>
      </c>
      <c r="CR19" s="15">
        <v>1476.27</v>
      </c>
      <c r="CS19" s="15" t="s">
        <v>71</v>
      </c>
      <c r="CT19" s="15">
        <v>1010.07</v>
      </c>
      <c r="CU19" s="7">
        <v>200</v>
      </c>
      <c r="CV19" s="7">
        <v>1.6</v>
      </c>
      <c r="CW19" s="7">
        <v>172501</v>
      </c>
      <c r="CX19" s="15">
        <f>2.527678/(CP19/CR19)</f>
        <v>0.633434143341662</v>
      </c>
      <c r="CY19" s="15">
        <f>BP19-D19</f>
        <v>2277.14</v>
      </c>
    </row>
    <row r="20" spans="1:103">
      <c r="A20" s="2" t="s">
        <v>88</v>
      </c>
      <c r="B20" s="2" t="s">
        <v>109</v>
      </c>
      <c r="C20" s="2" t="s">
        <v>110</v>
      </c>
      <c r="D20" s="2">
        <v>950.09</v>
      </c>
      <c r="E20" s="2">
        <f>F20-D20</f>
        <v>42.4</v>
      </c>
      <c r="F20" s="2">
        <v>992.49</v>
      </c>
      <c r="G20" s="2">
        <f>H20-F20</f>
        <v>38.5899999999999</v>
      </c>
      <c r="H20" s="2">
        <v>1031.08</v>
      </c>
      <c r="I20" s="2">
        <f>J20-H20</f>
        <v>22.6000000000001</v>
      </c>
      <c r="J20" s="2">
        <v>1053.68</v>
      </c>
      <c r="K20" s="2">
        <f>L20-J20</f>
        <v>10.9299999999998</v>
      </c>
      <c r="L20" s="2">
        <v>1064.61</v>
      </c>
      <c r="M20" s="2">
        <f>N20-L20</f>
        <v>16.1800000000001</v>
      </c>
      <c r="N20" s="2">
        <v>1080.79</v>
      </c>
      <c r="O20" s="2">
        <f>P20-N20</f>
        <v>13.6700000000001</v>
      </c>
      <c r="P20" s="2">
        <v>1094.46</v>
      </c>
      <c r="Q20" s="2">
        <f>R20-P20</f>
        <v>56.26</v>
      </c>
      <c r="R20" s="2">
        <v>1150.72</v>
      </c>
      <c r="S20" s="2">
        <f>T20-R20</f>
        <v>41.27</v>
      </c>
      <c r="T20" s="2">
        <v>1191.99</v>
      </c>
      <c r="U20" s="2">
        <f>V20-T20</f>
        <v>35.21</v>
      </c>
      <c r="V20" s="11">
        <v>1227.2</v>
      </c>
      <c r="W20" s="2">
        <f>X20-V20</f>
        <v>33.3599999999999</v>
      </c>
      <c r="X20" s="11">
        <v>1260.56</v>
      </c>
      <c r="Y20" s="2">
        <f>Z20-X20</f>
        <v>46.0900000000001</v>
      </c>
      <c r="Z20" s="2">
        <v>1306.65</v>
      </c>
      <c r="AA20" s="2">
        <f>AB20-Z20</f>
        <v>31.1699999999998</v>
      </c>
      <c r="AB20" s="2">
        <v>1337.82</v>
      </c>
      <c r="AC20" s="2">
        <f>AD20-AB20</f>
        <v>18.79</v>
      </c>
      <c r="AD20" s="2">
        <v>1356.61</v>
      </c>
      <c r="AE20" s="16">
        <f>AF20-AD20</f>
        <v>31.5900000000001</v>
      </c>
      <c r="AF20" s="16">
        <v>1388.2</v>
      </c>
      <c r="AG20" s="16">
        <f>AH20-AF20</f>
        <v>61.74</v>
      </c>
      <c r="AH20" s="16">
        <v>1449.94</v>
      </c>
      <c r="AI20" s="16">
        <f>AJ20-AH20</f>
        <v>22.1699999999998</v>
      </c>
      <c r="AJ20" s="16">
        <v>1472.11</v>
      </c>
      <c r="AK20" s="16">
        <f>AL20-AJ20</f>
        <v>44.0300000000002</v>
      </c>
      <c r="AL20" s="16">
        <v>1516.14</v>
      </c>
      <c r="AM20" s="16">
        <f>AN20-AL20</f>
        <v>40.25</v>
      </c>
      <c r="AN20" s="16">
        <v>1556.39</v>
      </c>
      <c r="AO20" s="16">
        <f>AP20-AN20</f>
        <v>49.1499999999999</v>
      </c>
      <c r="AP20" s="16">
        <v>1605.54</v>
      </c>
      <c r="AQ20" s="16">
        <f>AR20-AP20</f>
        <v>51.48</v>
      </c>
      <c r="AR20" s="16">
        <v>1657.02</v>
      </c>
      <c r="AS20" s="16">
        <f>AT20-AR20</f>
        <v>20.53</v>
      </c>
      <c r="AT20" s="16">
        <v>1677.55</v>
      </c>
      <c r="AU20" s="21">
        <f>AV20-AT20</f>
        <v>42.72</v>
      </c>
      <c r="AV20" s="21">
        <v>1720.27</v>
      </c>
      <c r="AW20" s="23">
        <f>AX20-AV20</f>
        <v>26.77</v>
      </c>
      <c r="AX20" s="23">
        <v>1747.04</v>
      </c>
      <c r="AY20" s="23">
        <f>AZ20-AX20</f>
        <v>25</v>
      </c>
      <c r="AZ20" s="23">
        <v>1772.04</v>
      </c>
      <c r="BA20" s="23">
        <f>BB20-AZ20</f>
        <v>65.03</v>
      </c>
      <c r="BB20" s="23">
        <v>1837.07</v>
      </c>
      <c r="BC20" s="23">
        <f>BD20-BB20</f>
        <v>23.6700000000001</v>
      </c>
      <c r="BD20" s="23">
        <v>1860.74</v>
      </c>
      <c r="BE20" s="21">
        <f>BF20-BD20</f>
        <v>29.48</v>
      </c>
      <c r="BF20" s="23">
        <v>1890.22</v>
      </c>
      <c r="BG20" s="23">
        <f>BH20-BF20</f>
        <v>72.71</v>
      </c>
      <c r="BH20" s="23">
        <v>1962.93</v>
      </c>
      <c r="BI20" s="23">
        <f>BJ20-BH20</f>
        <v>22.8799999999999</v>
      </c>
      <c r="BJ20" s="23">
        <v>1985.81</v>
      </c>
      <c r="BK20" s="23">
        <f>BL20-BJ20</f>
        <v>56.8400000000001</v>
      </c>
      <c r="BL20" s="23">
        <v>2042.65</v>
      </c>
      <c r="BM20" s="23">
        <f>BN20-BL20</f>
        <v>27.0499999999997</v>
      </c>
      <c r="BN20" s="23">
        <v>2069.7</v>
      </c>
      <c r="BO20" s="23">
        <f>BP20-BN20</f>
        <v>23.5800000000004</v>
      </c>
      <c r="BP20" s="23">
        <v>2093.28</v>
      </c>
      <c r="BQ20" s="23">
        <f>BR20-BP20</f>
        <v>22.7599999999998</v>
      </c>
      <c r="BR20" s="23">
        <v>2116.04</v>
      </c>
      <c r="BS20" s="23">
        <f>BT20-BR20</f>
        <v>40.79</v>
      </c>
      <c r="BT20" s="23">
        <v>2156.83</v>
      </c>
      <c r="BU20" s="23">
        <f>BV20-BT20</f>
        <v>15.3400000000001</v>
      </c>
      <c r="BV20" s="23">
        <v>2172.17</v>
      </c>
      <c r="BW20" s="23">
        <f>BX20-BV20</f>
        <v>57.3400000000001</v>
      </c>
      <c r="BX20" s="23">
        <v>2229.51</v>
      </c>
      <c r="BY20" s="23">
        <f>BZ20-BX20</f>
        <v>56.0299999999997</v>
      </c>
      <c r="BZ20" s="23">
        <v>2285.54</v>
      </c>
      <c r="CA20" s="23">
        <f>CB20-BZ20</f>
        <v>64.71</v>
      </c>
      <c r="CB20" s="23">
        <v>2350.25</v>
      </c>
      <c r="CC20" s="23">
        <f>CD20-CB20</f>
        <v>42.1100000000001</v>
      </c>
      <c r="CD20" s="23">
        <v>2392.36</v>
      </c>
      <c r="CE20" s="23">
        <f>CF20-CD20</f>
        <v>41.21</v>
      </c>
      <c r="CF20" s="23">
        <v>2433.57</v>
      </c>
      <c r="CG20" s="23">
        <f>CH20-CF20</f>
        <v>33.3499999999999</v>
      </c>
      <c r="CH20" s="23">
        <v>2466.92</v>
      </c>
      <c r="CI20" s="23">
        <f>CJ20-CH20</f>
        <v>36.3299999999999</v>
      </c>
      <c r="CJ20" s="23">
        <v>2503.25</v>
      </c>
      <c r="CK20" s="23">
        <f>CL20-CJ20</f>
        <v>59.1100000000001</v>
      </c>
      <c r="CL20" s="23">
        <v>2562.36</v>
      </c>
      <c r="CM20" s="23">
        <f>CN20-CL20</f>
        <v>54.8099999999999</v>
      </c>
      <c r="CN20" s="23">
        <v>2617.17</v>
      </c>
      <c r="CO20" s="23">
        <f>CP20-CN20</f>
        <v>23.9099999999999</v>
      </c>
      <c r="CP20" s="23">
        <v>2641.08</v>
      </c>
      <c r="CQ20" s="21" t="s">
        <v>90</v>
      </c>
      <c r="CR20" s="16">
        <v>951.93</v>
      </c>
      <c r="CS20" s="16" t="s">
        <v>91</v>
      </c>
      <c r="CT20" s="16">
        <v>704.28</v>
      </c>
      <c r="CU20" s="8">
        <v>10</v>
      </c>
      <c r="CV20" s="8">
        <v>2.2</v>
      </c>
      <c r="CW20" s="8">
        <v>86194</v>
      </c>
      <c r="CX20" s="15">
        <f>2.527678/(CP20/CR20)</f>
        <v>0.91105627945386</v>
      </c>
      <c r="CY20" s="15">
        <f>BP20-D20</f>
        <v>1143.19</v>
      </c>
    </row>
    <row r="21" spans="1:103">
      <c r="A21" s="1" t="s">
        <v>77</v>
      </c>
      <c r="B21" s="1" t="s">
        <v>111</v>
      </c>
      <c r="C21" s="1" t="s">
        <v>83</v>
      </c>
      <c r="D21" s="1">
        <v>1349.35</v>
      </c>
      <c r="E21" s="1">
        <f>F21-D21</f>
        <v>49.6200000000001</v>
      </c>
      <c r="F21" s="1">
        <v>1398.97</v>
      </c>
      <c r="G21" s="1">
        <f>H21-F21</f>
        <v>27.79</v>
      </c>
      <c r="H21" s="1">
        <v>1426.76</v>
      </c>
      <c r="I21" s="1">
        <f>J21-H21</f>
        <v>29.02</v>
      </c>
      <c r="J21" s="1">
        <v>1455.78</v>
      </c>
      <c r="K21" s="1">
        <f>L21-J21</f>
        <v>97.8800000000001</v>
      </c>
      <c r="L21" s="1">
        <v>1553.66</v>
      </c>
      <c r="M21" s="1">
        <f>N21-L21</f>
        <v>42.3599999999999</v>
      </c>
      <c r="N21" s="1">
        <v>1596.02</v>
      </c>
      <c r="O21" s="1">
        <f>P21-N21</f>
        <v>54.22</v>
      </c>
      <c r="P21" s="1">
        <v>1650.24</v>
      </c>
      <c r="Q21" s="1">
        <f>R21-P21</f>
        <v>35.5899999999999</v>
      </c>
      <c r="R21" s="1">
        <v>1685.83</v>
      </c>
      <c r="S21" s="1">
        <f>T21-R21</f>
        <v>68.1300000000001</v>
      </c>
      <c r="T21" s="1">
        <v>1753.96</v>
      </c>
      <c r="U21" s="1">
        <f>V21-T21</f>
        <v>58.5599999999999</v>
      </c>
      <c r="V21" s="12">
        <v>1812.52</v>
      </c>
      <c r="W21" s="1">
        <f>X21-V21</f>
        <v>67.21</v>
      </c>
      <c r="X21" s="12">
        <v>1879.73</v>
      </c>
      <c r="Y21" s="1">
        <f>Z21-X21</f>
        <v>20.22</v>
      </c>
      <c r="Z21" s="1">
        <v>1899.95</v>
      </c>
      <c r="AA21" s="1">
        <f>AB21-Z21</f>
        <v>35.0999999999999</v>
      </c>
      <c r="AB21" s="1">
        <v>1935.05</v>
      </c>
      <c r="AC21" s="1">
        <f>AD21-AB21</f>
        <v>44.73</v>
      </c>
      <c r="AD21" s="1">
        <v>1979.78</v>
      </c>
      <c r="AE21" s="17">
        <f>AF21-AD21</f>
        <v>31.1700000000001</v>
      </c>
      <c r="AF21" s="17">
        <v>2010.95</v>
      </c>
      <c r="AG21" s="17">
        <f>AH21-AF21</f>
        <v>51.4100000000001</v>
      </c>
      <c r="AH21" s="17">
        <v>2062.36</v>
      </c>
      <c r="AI21" s="17">
        <f>AJ21-AH21</f>
        <v>64.9899999999998</v>
      </c>
      <c r="AJ21" s="17">
        <v>2127.35</v>
      </c>
      <c r="AK21" s="17">
        <f>AL21-AJ21</f>
        <v>21.6500000000001</v>
      </c>
      <c r="AL21" s="17">
        <v>2149</v>
      </c>
      <c r="AM21" s="17">
        <f>AN21-AL21</f>
        <v>29.3899999999999</v>
      </c>
      <c r="AN21" s="17">
        <v>2178.39</v>
      </c>
      <c r="AO21" s="17">
        <f>AP21-AN21</f>
        <v>28.6100000000001</v>
      </c>
      <c r="AP21" s="17">
        <v>2207</v>
      </c>
      <c r="AQ21" s="17">
        <f>AR21-AP21</f>
        <v>17.4099999999999</v>
      </c>
      <c r="AR21" s="17">
        <v>2224.41</v>
      </c>
      <c r="AS21" s="17">
        <f>AT21-AR21</f>
        <v>21.0700000000002</v>
      </c>
      <c r="AT21" s="17">
        <v>2245.48</v>
      </c>
      <c r="AU21" s="22">
        <f>AV21-AT21</f>
        <v>94.73</v>
      </c>
      <c r="AV21" s="22">
        <v>2340.21</v>
      </c>
      <c r="AW21" s="27">
        <f>AX21-AV21</f>
        <v>25.7199999999998</v>
      </c>
      <c r="AX21" s="27">
        <v>2365.93</v>
      </c>
      <c r="AY21" s="27">
        <f>AZ21-AX21</f>
        <v>69.3800000000001</v>
      </c>
      <c r="AZ21" s="27">
        <v>2435.31</v>
      </c>
      <c r="BA21" s="27">
        <f>BB21-AZ21</f>
        <v>48.79</v>
      </c>
      <c r="BB21" s="27">
        <v>2484.1</v>
      </c>
      <c r="BC21" s="27">
        <f>BD21-BB21</f>
        <v>4.57999999999993</v>
      </c>
      <c r="BD21" s="27">
        <v>2488.68</v>
      </c>
      <c r="BE21" s="22">
        <f>BF21-BD21</f>
        <v>42.2000000000003</v>
      </c>
      <c r="BF21" s="27">
        <v>2530.88</v>
      </c>
      <c r="BG21" s="27">
        <f>BH21-BF21</f>
        <v>24.9400000000001</v>
      </c>
      <c r="BH21" s="27">
        <v>2555.82</v>
      </c>
      <c r="BI21" s="27">
        <f>BJ21-BH21</f>
        <v>52.77</v>
      </c>
      <c r="BJ21" s="27">
        <v>2608.59</v>
      </c>
      <c r="BK21" s="27">
        <f>BL21-BJ21</f>
        <v>55.8799999999997</v>
      </c>
      <c r="BL21" s="27">
        <v>2664.47</v>
      </c>
      <c r="BM21" s="27">
        <f>BN21-BL21</f>
        <v>21.2000000000003</v>
      </c>
      <c r="BN21" s="27">
        <v>2685.67</v>
      </c>
      <c r="BO21" s="27">
        <f>BP21-BN21</f>
        <v>32.02</v>
      </c>
      <c r="BP21" s="27">
        <v>2717.69</v>
      </c>
      <c r="BQ21" s="27">
        <f>BR21-BP21</f>
        <v>24.5999999999999</v>
      </c>
      <c r="BR21" s="27">
        <v>2742.29</v>
      </c>
      <c r="BS21" s="27">
        <f>BT21-BR21</f>
        <v>14.79</v>
      </c>
      <c r="BT21" s="27">
        <v>2757.08</v>
      </c>
      <c r="BU21" s="27">
        <f>BV21-BT21</f>
        <v>70.6700000000001</v>
      </c>
      <c r="BV21" s="27">
        <v>2827.75</v>
      </c>
      <c r="BW21" s="27">
        <f>BX21-BV21</f>
        <v>56.4400000000001</v>
      </c>
      <c r="BX21" s="27">
        <v>2884.19</v>
      </c>
      <c r="BY21" s="27">
        <f>BZ21-BX21</f>
        <v>33.4200000000001</v>
      </c>
      <c r="BZ21" s="27">
        <v>2917.61</v>
      </c>
      <c r="CA21" s="27">
        <f>CB21-BZ21</f>
        <v>57.9000000000001</v>
      </c>
      <c r="CB21" s="27">
        <v>2975.51</v>
      </c>
      <c r="CC21" s="27">
        <f>CD21-CB21</f>
        <v>90.8599999999997</v>
      </c>
      <c r="CD21" s="27">
        <v>3066.37</v>
      </c>
      <c r="CE21" s="27">
        <f>CF21-CD21</f>
        <v>161.05</v>
      </c>
      <c r="CF21" s="27">
        <v>3227.42</v>
      </c>
      <c r="CG21" s="27">
        <f>CH21-CF21</f>
        <v>36.6700000000001</v>
      </c>
      <c r="CH21" s="27">
        <v>3264.09</v>
      </c>
      <c r="CI21" s="27">
        <f>CJ21-CH21</f>
        <v>72.0899999999997</v>
      </c>
      <c r="CJ21" s="27">
        <v>3336.18</v>
      </c>
      <c r="CK21" s="27">
        <f>CL21-CJ21</f>
        <v>32.7800000000002</v>
      </c>
      <c r="CL21" s="27">
        <v>3368.96</v>
      </c>
      <c r="CM21" s="27">
        <f>CN21-CL21</f>
        <v>40.8299999999999</v>
      </c>
      <c r="CN21" s="27">
        <v>3409.79</v>
      </c>
      <c r="CO21" s="27">
        <f>CP21-CN21</f>
        <v>23.02</v>
      </c>
      <c r="CP21" s="27">
        <v>3432.81</v>
      </c>
      <c r="CQ21" s="22" t="s">
        <v>101</v>
      </c>
      <c r="CR21" s="17">
        <v>915.67</v>
      </c>
      <c r="CS21" s="16" t="s">
        <v>93</v>
      </c>
      <c r="CT21" s="16">
        <v>645.48</v>
      </c>
      <c r="CU21" s="2">
        <v>20</v>
      </c>
      <c r="CV21" s="2">
        <v>3.2</v>
      </c>
      <c r="CW21" s="2">
        <v>109106</v>
      </c>
      <c r="CX21" s="15">
        <f>2.527678/(CP21/CR21)</f>
        <v>0.674234494265631</v>
      </c>
      <c r="CY21" s="15">
        <f>BP21-D21</f>
        <v>1368.34</v>
      </c>
    </row>
    <row r="22" spans="1:103">
      <c r="A22" s="2" t="s">
        <v>112</v>
      </c>
      <c r="B22" s="2" t="s">
        <v>113</v>
      </c>
      <c r="C22" s="2" t="s">
        <v>83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11"/>
      <c r="W22" s="2"/>
      <c r="X22" s="11"/>
      <c r="Y22" s="2"/>
      <c r="Z22" s="2"/>
      <c r="AA22" s="2"/>
      <c r="AB22" s="2"/>
      <c r="AC22" s="2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>
        <v>2239.6</v>
      </c>
      <c r="AS22" s="16">
        <f>AT22-AR22</f>
        <v>0</v>
      </c>
      <c r="AT22" s="16">
        <v>2239.6</v>
      </c>
      <c r="AU22" s="21">
        <f>AV22-AT22</f>
        <v>17.6399999999999</v>
      </c>
      <c r="AV22" s="21">
        <v>2257.24</v>
      </c>
      <c r="AW22" s="23">
        <f>AX22-AV22</f>
        <v>66.0900000000001</v>
      </c>
      <c r="AX22" s="23">
        <v>2323.33</v>
      </c>
      <c r="AY22" s="23">
        <f>AZ22-AX22</f>
        <v>15.3099999999999</v>
      </c>
      <c r="AZ22" s="23">
        <v>2338.64</v>
      </c>
      <c r="BA22" s="23">
        <f>BB22-AZ22</f>
        <v>34.4100000000003</v>
      </c>
      <c r="BB22" s="23">
        <v>2373.05</v>
      </c>
      <c r="BC22" s="23">
        <f>BD22-BB22</f>
        <v>53.6499999999996</v>
      </c>
      <c r="BD22" s="23">
        <v>2426.7</v>
      </c>
      <c r="BE22" s="21">
        <f>BF22-BD22</f>
        <v>30.3900000000003</v>
      </c>
      <c r="BF22" s="23">
        <v>2457.09</v>
      </c>
      <c r="BG22" s="23">
        <f>BH22-BF22</f>
        <v>45.9099999999999</v>
      </c>
      <c r="BH22" s="23">
        <v>2503</v>
      </c>
      <c r="BI22" s="23">
        <f>BJ22-BH22</f>
        <v>21.23</v>
      </c>
      <c r="BJ22" s="23">
        <v>2524.23</v>
      </c>
      <c r="BK22" s="23">
        <f>BL22-BJ22</f>
        <v>48.6999999999998</v>
      </c>
      <c r="BL22" s="23">
        <v>2572.93</v>
      </c>
      <c r="BM22" s="23">
        <f>BN22-BL22</f>
        <v>13.2600000000002</v>
      </c>
      <c r="BN22" s="23">
        <v>2586.19</v>
      </c>
      <c r="BO22" s="23">
        <f>BP22-BN22</f>
        <v>48.54</v>
      </c>
      <c r="BP22" s="23">
        <v>2634.73</v>
      </c>
      <c r="BQ22" s="23">
        <f>BR22-BP22</f>
        <v>12.6300000000001</v>
      </c>
      <c r="BR22" s="23">
        <v>2647.36</v>
      </c>
      <c r="BS22" s="23">
        <f>BT22-BR22</f>
        <v>17.8399999999997</v>
      </c>
      <c r="BT22" s="23">
        <v>2665.2</v>
      </c>
      <c r="BU22" s="23">
        <f>BV22-BT22</f>
        <v>22.5700000000002</v>
      </c>
      <c r="BV22" s="23">
        <v>2687.77</v>
      </c>
      <c r="BW22" s="23">
        <f>BX22-BV22</f>
        <v>16.1199999999999</v>
      </c>
      <c r="BX22" s="23">
        <v>2703.89</v>
      </c>
      <c r="BY22" s="23">
        <f>BZ22-BX22</f>
        <v>8.09000000000015</v>
      </c>
      <c r="BZ22" s="23">
        <v>2711.98</v>
      </c>
      <c r="CA22" s="23">
        <f>CB22-BZ22</f>
        <v>19.6500000000001</v>
      </c>
      <c r="CB22" s="23">
        <v>2731.63</v>
      </c>
      <c r="CC22" s="23">
        <f>CD22-CB22</f>
        <v>15.1700000000001</v>
      </c>
      <c r="CD22" s="23">
        <v>2746.8</v>
      </c>
      <c r="CE22" s="23">
        <f>CF22-CD22</f>
        <v>23.1699999999996</v>
      </c>
      <c r="CF22" s="23">
        <v>2769.97</v>
      </c>
      <c r="CG22" s="23">
        <f>CH22-CF22</f>
        <v>20.6500000000001</v>
      </c>
      <c r="CH22" s="23">
        <v>2790.62</v>
      </c>
      <c r="CI22" s="23">
        <f>CJ22-CH22</f>
        <v>20.04</v>
      </c>
      <c r="CJ22" s="23">
        <v>2810.66</v>
      </c>
      <c r="CK22" s="23">
        <f>CL22-CJ22</f>
        <v>20.4900000000002</v>
      </c>
      <c r="CL22" s="23">
        <v>2831.15</v>
      </c>
      <c r="CM22" s="23">
        <f>CN22-CL22</f>
        <v>19.3199999999997</v>
      </c>
      <c r="CN22" s="23">
        <v>2850.47</v>
      </c>
      <c r="CO22" s="23">
        <f>CP22-CN22</f>
        <v>16.5300000000002</v>
      </c>
      <c r="CP22" s="23">
        <v>2867</v>
      </c>
      <c r="CQ22" s="21" t="s">
        <v>101</v>
      </c>
      <c r="CR22" s="16">
        <v>663.37</v>
      </c>
      <c r="CS22" s="16" t="s">
        <v>93</v>
      </c>
      <c r="CT22" s="16">
        <v>490.62</v>
      </c>
      <c r="CU22" s="2"/>
      <c r="CV22" s="2"/>
      <c r="CW22" s="2"/>
      <c r="CX22" s="15">
        <f>2.527678/(CP22/CR22)</f>
        <v>0.584857256665504</v>
      </c>
      <c r="CY22" s="15">
        <f>BP22-D22</f>
        <v>2634.73</v>
      </c>
    </row>
    <row r="23" spans="1:103">
      <c r="A23" s="8" t="s">
        <v>60</v>
      </c>
      <c r="B23" s="8" t="s">
        <v>114</v>
      </c>
      <c r="C23" s="8" t="s">
        <v>97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13"/>
      <c r="W23" s="8"/>
      <c r="X23" s="13"/>
      <c r="Y23" s="8"/>
      <c r="Z23" s="8"/>
      <c r="AA23" s="8"/>
      <c r="AB23" s="8"/>
      <c r="AC23" s="8"/>
      <c r="AD23" s="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>
        <v>686.23</v>
      </c>
      <c r="AS23" s="18">
        <f>AT23-AR23</f>
        <v>0</v>
      </c>
      <c r="AT23" s="18">
        <v>686.23</v>
      </c>
      <c r="AU23" s="24">
        <f>AV23-AT23</f>
        <v>33.75</v>
      </c>
      <c r="AV23" s="24">
        <v>719.98</v>
      </c>
      <c r="AW23" s="28">
        <f>AX23-AV23</f>
        <v>24.6999999999999</v>
      </c>
      <c r="AX23" s="28">
        <v>744.68</v>
      </c>
      <c r="AY23" s="28">
        <f>AZ23-AX23</f>
        <v>7.6400000000001</v>
      </c>
      <c r="AZ23" s="28">
        <v>752.32</v>
      </c>
      <c r="BA23" s="28">
        <f>BB23-AZ23</f>
        <v>41.02</v>
      </c>
      <c r="BB23" s="28">
        <v>793.34</v>
      </c>
      <c r="BC23" s="28">
        <f>BD23-BB23</f>
        <v>17.66</v>
      </c>
      <c r="BD23" s="28">
        <v>811</v>
      </c>
      <c r="BE23" s="24">
        <f>BF23-BD23</f>
        <v>6.5</v>
      </c>
      <c r="BF23" s="28">
        <v>817.5</v>
      </c>
      <c r="BG23" s="28">
        <f>BH23-BF23</f>
        <v>13.03</v>
      </c>
      <c r="BH23" s="28">
        <v>830.53</v>
      </c>
      <c r="BI23" s="28">
        <f>BJ23-BH23</f>
        <v>11.5600000000001</v>
      </c>
      <c r="BJ23" s="28">
        <v>842.09</v>
      </c>
      <c r="BK23" s="28">
        <f>BL23-BJ23</f>
        <v>11.9499999999999</v>
      </c>
      <c r="BL23" s="28">
        <v>854.04</v>
      </c>
      <c r="BM23" s="28">
        <f>BN23-BL23</f>
        <v>28.2800000000001</v>
      </c>
      <c r="BN23" s="28">
        <v>882.32</v>
      </c>
      <c r="BO23" s="28">
        <f>BP23-BN23</f>
        <v>15.0799999999999</v>
      </c>
      <c r="BP23" s="28">
        <v>897.4</v>
      </c>
      <c r="BQ23" s="28">
        <f>BR23-BP23</f>
        <v>8.04000000000008</v>
      </c>
      <c r="BR23" s="28">
        <v>905.44</v>
      </c>
      <c r="BS23" s="28">
        <f>BT23-BR23</f>
        <v>35.1899999999999</v>
      </c>
      <c r="BT23" s="28">
        <v>940.63</v>
      </c>
      <c r="BU23" s="28">
        <f>BV23-BT23</f>
        <v>-1.37</v>
      </c>
      <c r="BV23" s="28">
        <v>939.26</v>
      </c>
      <c r="BW23" s="28">
        <f>BX23-BV23</f>
        <v>34.1</v>
      </c>
      <c r="BX23" s="28">
        <v>973.36</v>
      </c>
      <c r="BY23" s="28">
        <f>BZ23-BX23</f>
        <v>16.52</v>
      </c>
      <c r="BZ23" s="28">
        <v>989.88</v>
      </c>
      <c r="CA23" s="28">
        <f>CB23-BZ23</f>
        <v>42.6799999999999</v>
      </c>
      <c r="CB23" s="28">
        <v>1032.56</v>
      </c>
      <c r="CC23" s="28">
        <f>CD23-CB23</f>
        <v>23.6000000000001</v>
      </c>
      <c r="CD23" s="28">
        <v>1056.16</v>
      </c>
      <c r="CE23" s="28">
        <f>CF23-CD23</f>
        <v>7.55999999999995</v>
      </c>
      <c r="CF23" s="28">
        <v>1063.72</v>
      </c>
      <c r="CG23" s="28">
        <f>CH23-CF23</f>
        <v>14.1499999999999</v>
      </c>
      <c r="CH23" s="28">
        <v>1077.87</v>
      </c>
      <c r="CI23" s="28">
        <f>CJ23-CH23</f>
        <v>12.9200000000001</v>
      </c>
      <c r="CJ23" s="28">
        <v>1090.79</v>
      </c>
      <c r="CK23" s="28">
        <f>CL23-CJ23</f>
        <v>14.96</v>
      </c>
      <c r="CL23" s="28">
        <v>1105.75</v>
      </c>
      <c r="CM23" s="28">
        <f>CN23-CL23</f>
        <v>12.6400000000001</v>
      </c>
      <c r="CN23" s="28">
        <v>1118.39</v>
      </c>
      <c r="CO23" s="28">
        <f>CP23-CN23</f>
        <v>15.3399999999999</v>
      </c>
      <c r="CP23" s="28">
        <v>1133.73</v>
      </c>
      <c r="CQ23" s="24" t="s">
        <v>91</v>
      </c>
      <c r="CR23" s="18">
        <v>287.76</v>
      </c>
      <c r="CS23" s="19" t="s">
        <v>115</v>
      </c>
      <c r="CT23" s="19">
        <v>148.34</v>
      </c>
      <c r="CU23" s="3"/>
      <c r="CV23" s="3"/>
      <c r="CW23" s="3"/>
      <c r="CX23" s="15">
        <f>2.527678/(CP23/CR23)</f>
        <v>0.641567764176656</v>
      </c>
      <c r="CY23" s="15">
        <f>BP23-D23</f>
        <v>897.4</v>
      </c>
    </row>
    <row r="24" spans="1:103">
      <c r="A24" s="8" t="s">
        <v>77</v>
      </c>
      <c r="B24" s="8" t="s">
        <v>116</v>
      </c>
      <c r="C24" s="8" t="s">
        <v>110</v>
      </c>
      <c r="D24" s="8">
        <v>407.35</v>
      </c>
      <c r="E24" s="8">
        <f>F24-D24</f>
        <v>13.86</v>
      </c>
      <c r="F24" s="8">
        <v>421.21</v>
      </c>
      <c r="G24" s="8">
        <f>H24-F24</f>
        <v>16.43</v>
      </c>
      <c r="H24" s="8">
        <v>437.64</v>
      </c>
      <c r="I24" s="8">
        <f>J24-H24</f>
        <v>13.64</v>
      </c>
      <c r="J24" s="8">
        <v>451.28</v>
      </c>
      <c r="K24" s="8">
        <f>L24-J24</f>
        <v>11.6</v>
      </c>
      <c r="L24" s="8">
        <v>462.88</v>
      </c>
      <c r="M24" s="8">
        <f>N24-L24</f>
        <v>47.68</v>
      </c>
      <c r="N24" s="8">
        <v>510.56</v>
      </c>
      <c r="O24" s="8">
        <f>P24-N24</f>
        <v>20.51</v>
      </c>
      <c r="P24" s="8">
        <v>531.07</v>
      </c>
      <c r="Q24" s="8">
        <f>R24-P24</f>
        <v>18.6099999999999</v>
      </c>
      <c r="R24" s="8">
        <v>549.68</v>
      </c>
      <c r="S24" s="8">
        <f>T24-R24</f>
        <v>11.9400000000001</v>
      </c>
      <c r="T24" s="8">
        <v>561.62</v>
      </c>
      <c r="U24" s="8">
        <f>V24-T24</f>
        <v>16.23</v>
      </c>
      <c r="V24" s="13">
        <v>577.85</v>
      </c>
      <c r="W24" s="8">
        <f>X24-V24</f>
        <v>15.28</v>
      </c>
      <c r="X24" s="13">
        <v>593.13</v>
      </c>
      <c r="Y24" s="8">
        <f>Z24-X24</f>
        <v>33.2</v>
      </c>
      <c r="Z24" s="8">
        <v>626.33</v>
      </c>
      <c r="AA24" s="8">
        <f>AB24-Z24</f>
        <v>16.7199999999999</v>
      </c>
      <c r="AB24" s="8">
        <v>643.05</v>
      </c>
      <c r="AC24" s="8">
        <f>AD24-AB24</f>
        <v>11.9300000000001</v>
      </c>
      <c r="AD24" s="8">
        <v>654.98</v>
      </c>
      <c r="AE24" s="18">
        <f>AF24-AD24</f>
        <v>9.16999999999996</v>
      </c>
      <c r="AF24" s="18">
        <v>664.15</v>
      </c>
      <c r="AG24" s="18">
        <f>AH24-AF24</f>
        <v>25.0500000000001</v>
      </c>
      <c r="AH24" s="18">
        <v>689.2</v>
      </c>
      <c r="AI24" s="18">
        <f>AJ24-AH24</f>
        <v>9.88999999999999</v>
      </c>
      <c r="AJ24" s="18">
        <v>699.09</v>
      </c>
      <c r="AK24" s="18">
        <f>AL24-AJ24</f>
        <v>19.55</v>
      </c>
      <c r="AL24" s="18">
        <v>718.64</v>
      </c>
      <c r="AM24" s="18">
        <f>AN24-AL24</f>
        <v>15.5</v>
      </c>
      <c r="AN24" s="18">
        <v>734.14</v>
      </c>
      <c r="AO24" s="18">
        <f>AP24-AN24</f>
        <v>17.77</v>
      </c>
      <c r="AP24" s="18">
        <v>751.91</v>
      </c>
      <c r="AQ24" s="18">
        <f>AR24-AP24</f>
        <v>6.73000000000002</v>
      </c>
      <c r="AR24" s="18">
        <v>758.64</v>
      </c>
      <c r="AS24" s="18">
        <f>AT24-AR24</f>
        <v>25.71</v>
      </c>
      <c r="AT24" s="18">
        <v>784.35</v>
      </c>
      <c r="AU24" s="24">
        <f>AV24-AT24</f>
        <v>6.80999999999995</v>
      </c>
      <c r="AV24" s="24">
        <v>791.16</v>
      </c>
      <c r="AW24" s="28">
        <f>AX24-AV24</f>
        <v>22.99</v>
      </c>
      <c r="AX24" s="28">
        <v>814.15</v>
      </c>
      <c r="AY24" s="28">
        <f>AZ24-AX24</f>
        <v>7.02999999999997</v>
      </c>
      <c r="AZ24" s="28">
        <v>821.18</v>
      </c>
      <c r="BA24" s="28">
        <f>BB24-AZ24</f>
        <v>10.8000000000001</v>
      </c>
      <c r="BB24" s="28">
        <v>831.98</v>
      </c>
      <c r="BC24" s="28">
        <f>BD24-BB24</f>
        <v>9.29999999999995</v>
      </c>
      <c r="BD24" s="28">
        <v>841.28</v>
      </c>
      <c r="BE24" s="24">
        <f>BF24-BD24</f>
        <v>10.27</v>
      </c>
      <c r="BF24" s="28">
        <v>851.55</v>
      </c>
      <c r="BG24" s="28">
        <f>BH24-BF24</f>
        <v>5.25</v>
      </c>
      <c r="BH24" s="28">
        <v>856.8</v>
      </c>
      <c r="BI24" s="28">
        <f>BJ24-BH24</f>
        <v>38.2900000000001</v>
      </c>
      <c r="BJ24" s="28">
        <v>895.09</v>
      </c>
      <c r="BK24" s="28">
        <f>BL24-BJ24</f>
        <v>5.57999999999993</v>
      </c>
      <c r="BL24" s="28">
        <v>900.67</v>
      </c>
      <c r="BM24" s="28">
        <f>BN24-BL24</f>
        <v>8.44000000000005</v>
      </c>
      <c r="BN24" s="28">
        <v>909.11</v>
      </c>
      <c r="BO24" s="28">
        <f>BP24-BN24</f>
        <v>15.85</v>
      </c>
      <c r="BP24" s="28">
        <v>924.96</v>
      </c>
      <c r="BQ24" s="28">
        <f>BR24-BP24</f>
        <v>18.7199999999999</v>
      </c>
      <c r="BR24" s="28">
        <v>943.68</v>
      </c>
      <c r="BS24" s="28">
        <f>BT24-BR24</f>
        <v>7.2600000000001</v>
      </c>
      <c r="BT24" s="28">
        <v>950.94</v>
      </c>
      <c r="BU24" s="28">
        <f>BV24-BT24</f>
        <v>12.5599999999999</v>
      </c>
      <c r="BV24" s="28">
        <v>963.5</v>
      </c>
      <c r="BW24" s="28">
        <f>BX24-BV24</f>
        <v>22.38</v>
      </c>
      <c r="BX24" s="28">
        <v>985.88</v>
      </c>
      <c r="BY24" s="28">
        <f>BZ24-BX24</f>
        <v>6.41999999999996</v>
      </c>
      <c r="BZ24" s="28">
        <v>992.3</v>
      </c>
      <c r="CA24" s="28">
        <f>CB24-BZ24</f>
        <v>17.48</v>
      </c>
      <c r="CB24" s="28">
        <v>1009.78</v>
      </c>
      <c r="CC24" s="28">
        <f>CD24-CB24</f>
        <v>12.87</v>
      </c>
      <c r="CD24" s="28">
        <v>1022.65</v>
      </c>
      <c r="CE24" s="28">
        <f>CF24-CD24</f>
        <v>15.34</v>
      </c>
      <c r="CF24" s="28">
        <v>1037.99</v>
      </c>
      <c r="CG24" s="28">
        <f>CH24-CF24</f>
        <v>11.4200000000001</v>
      </c>
      <c r="CH24" s="28">
        <v>1049.41</v>
      </c>
      <c r="CI24" s="28">
        <f>CJ24-CH24</f>
        <v>17.9299999999998</v>
      </c>
      <c r="CJ24" s="28">
        <v>1067.34</v>
      </c>
      <c r="CK24" s="28">
        <f>CL24-CJ24</f>
        <v>16.5</v>
      </c>
      <c r="CL24" s="28">
        <v>1083.84</v>
      </c>
      <c r="CM24" s="28">
        <f>CN24-CL24</f>
        <v>12.4100000000001</v>
      </c>
      <c r="CN24" s="28">
        <v>1096.25</v>
      </c>
      <c r="CO24" s="28">
        <f>CP24-CN24</f>
        <v>12.45</v>
      </c>
      <c r="CP24" s="28">
        <v>1108.7</v>
      </c>
      <c r="CQ24" s="24" t="s">
        <v>80</v>
      </c>
      <c r="CR24" s="18">
        <v>503.76</v>
      </c>
      <c r="CS24" s="19" t="s">
        <v>117</v>
      </c>
      <c r="CT24" s="19">
        <v>293.75</v>
      </c>
      <c r="CU24" s="3">
        <v>30</v>
      </c>
      <c r="CV24" s="3">
        <v>2.4</v>
      </c>
      <c r="CW24" s="3">
        <v>43895</v>
      </c>
      <c r="CX24" s="15">
        <f>2.527678/(CP24/CR24)</f>
        <v>1.14850100954271</v>
      </c>
      <c r="CY24" s="15">
        <f>BP24-D24</f>
        <v>517.61</v>
      </c>
    </row>
    <row r="25" spans="1:103">
      <c r="A25" s="8" t="s">
        <v>73</v>
      </c>
      <c r="B25" s="8" t="s">
        <v>118</v>
      </c>
      <c r="C25" s="8" t="s">
        <v>97</v>
      </c>
      <c r="D25" s="8">
        <v>305.29</v>
      </c>
      <c r="E25" s="8">
        <f>F25-D25</f>
        <v>17.97</v>
      </c>
      <c r="F25" s="8">
        <v>323.26</v>
      </c>
      <c r="G25" s="8">
        <f>H25-F25</f>
        <v>10.82</v>
      </c>
      <c r="H25" s="8">
        <v>334.08</v>
      </c>
      <c r="I25" s="8">
        <f>J25-H25</f>
        <v>16.2</v>
      </c>
      <c r="J25" s="8">
        <v>350.28</v>
      </c>
      <c r="K25" s="8">
        <f>L25-J25</f>
        <v>10.8</v>
      </c>
      <c r="L25" s="8">
        <v>361.08</v>
      </c>
      <c r="M25" s="8">
        <f>N25-L25</f>
        <v>9.98000000000002</v>
      </c>
      <c r="N25" s="8">
        <v>371.06</v>
      </c>
      <c r="O25" s="8">
        <f>P25-N25</f>
        <v>10.17</v>
      </c>
      <c r="P25" s="8">
        <v>381.23</v>
      </c>
      <c r="Q25" s="8">
        <f>R25-P25</f>
        <v>20.97</v>
      </c>
      <c r="R25" s="8">
        <v>402.2</v>
      </c>
      <c r="S25" s="8">
        <f>T25-R25</f>
        <v>5.68000000000001</v>
      </c>
      <c r="T25" s="8">
        <v>407.88</v>
      </c>
      <c r="U25" s="8">
        <f>V25-T25</f>
        <v>25.13</v>
      </c>
      <c r="V25" s="13">
        <v>433.01</v>
      </c>
      <c r="W25" s="8">
        <f>X25-V25</f>
        <v>37.15</v>
      </c>
      <c r="X25" s="13">
        <v>470.16</v>
      </c>
      <c r="Y25" s="8">
        <f>Z25-X25</f>
        <v>10.92</v>
      </c>
      <c r="Z25" s="8">
        <v>481.08</v>
      </c>
      <c r="AA25" s="8">
        <f>AB25-Z25</f>
        <v>13.68</v>
      </c>
      <c r="AB25" s="8">
        <v>494.76</v>
      </c>
      <c r="AC25" s="8">
        <f>AD25-AB25</f>
        <v>12.69</v>
      </c>
      <c r="AD25" s="8">
        <v>507.45</v>
      </c>
      <c r="AE25" s="18">
        <f>AF25-AD25</f>
        <v>42.97</v>
      </c>
      <c r="AF25" s="18">
        <v>550.42</v>
      </c>
      <c r="AG25" s="18">
        <f>AH25-AF25</f>
        <v>13</v>
      </c>
      <c r="AH25" s="18">
        <v>563.42</v>
      </c>
      <c r="AI25" s="18">
        <f>AJ25-AH25</f>
        <v>50.58</v>
      </c>
      <c r="AJ25" s="18">
        <v>614</v>
      </c>
      <c r="AK25" s="18">
        <f>AL25-AJ25</f>
        <v>26.13</v>
      </c>
      <c r="AL25" s="18">
        <v>640.13</v>
      </c>
      <c r="AM25" s="18">
        <f>AN25-AL25</f>
        <v>8.04999999999995</v>
      </c>
      <c r="AN25" s="18">
        <v>648.18</v>
      </c>
      <c r="AO25" s="18">
        <f>AP25-AN25</f>
        <v>9.7600000000001</v>
      </c>
      <c r="AP25" s="18">
        <v>657.94</v>
      </c>
      <c r="AQ25" s="18">
        <f>AR25-AP25</f>
        <v>24.02</v>
      </c>
      <c r="AR25" s="18">
        <v>681.96</v>
      </c>
      <c r="AS25" s="18">
        <f>AT25-AR25</f>
        <v>24.65</v>
      </c>
      <c r="AT25" s="18">
        <v>706.61</v>
      </c>
      <c r="AU25" s="24">
        <f>AV25-AT25</f>
        <v>17.4399999999999</v>
      </c>
      <c r="AV25" s="24">
        <v>724.05</v>
      </c>
      <c r="AW25" s="28">
        <f>AX25-AV25</f>
        <v>17.08</v>
      </c>
      <c r="AX25" s="28">
        <v>741.13</v>
      </c>
      <c r="AY25" s="28">
        <f>AZ25-AX25</f>
        <v>24.95</v>
      </c>
      <c r="AZ25" s="28">
        <v>766.08</v>
      </c>
      <c r="BA25" s="28">
        <f>BB25-AZ25</f>
        <v>13.52</v>
      </c>
      <c r="BB25" s="28">
        <v>779.6</v>
      </c>
      <c r="BC25" s="28">
        <f>BD25-BB25</f>
        <v>23.9599999999999</v>
      </c>
      <c r="BD25" s="28">
        <v>803.56</v>
      </c>
      <c r="BE25" s="24">
        <f>BF25-BD25</f>
        <v>9.98000000000002</v>
      </c>
      <c r="BF25" s="28">
        <v>813.54</v>
      </c>
      <c r="BG25" s="28">
        <f>BH25-BF25</f>
        <v>27.73</v>
      </c>
      <c r="BH25" s="28">
        <v>841.27</v>
      </c>
      <c r="BI25" s="28">
        <f>BJ25-BH25</f>
        <v>25.37</v>
      </c>
      <c r="BJ25" s="28">
        <v>866.64</v>
      </c>
      <c r="BK25" s="28">
        <f>BL25-BJ25</f>
        <v>18.66</v>
      </c>
      <c r="BL25" s="28">
        <v>885.3</v>
      </c>
      <c r="BM25" s="28">
        <f>BN25-BL25</f>
        <v>41.36</v>
      </c>
      <c r="BN25" s="28">
        <v>926.66</v>
      </c>
      <c r="BO25" s="28">
        <f>BP25-BN25</f>
        <v>25.24</v>
      </c>
      <c r="BP25" s="28">
        <v>951.9</v>
      </c>
      <c r="BQ25" s="28">
        <f>BR25-BP25</f>
        <v>11.91</v>
      </c>
      <c r="BR25" s="28">
        <v>963.81</v>
      </c>
      <c r="BS25" s="28">
        <f>BT25-BR25</f>
        <v>27.6400000000001</v>
      </c>
      <c r="BT25" s="28">
        <v>991.45</v>
      </c>
      <c r="BU25" s="28">
        <f>BV25-BT25</f>
        <v>9.96999999999991</v>
      </c>
      <c r="BV25" s="28">
        <v>1001.42</v>
      </c>
      <c r="BW25" s="28">
        <f>BX25-BV25</f>
        <v>17.7900000000001</v>
      </c>
      <c r="BX25" s="28">
        <v>1019.21</v>
      </c>
      <c r="BY25" s="28">
        <f>BZ25-BX25</f>
        <v>30.9099999999999</v>
      </c>
      <c r="BZ25" s="28">
        <v>1050.12</v>
      </c>
      <c r="CA25" s="28">
        <f>CB25-BZ25</f>
        <v>14.3900000000001</v>
      </c>
      <c r="CB25" s="28">
        <v>1064.51</v>
      </c>
      <c r="CC25" s="28">
        <f>CD25-CB25</f>
        <v>20.8</v>
      </c>
      <c r="CD25" s="28">
        <v>1085.31</v>
      </c>
      <c r="CE25" s="28">
        <f>CF25-CD25</f>
        <v>10.1200000000001</v>
      </c>
      <c r="CF25" s="28">
        <v>1095.43</v>
      </c>
      <c r="CG25" s="28">
        <f>CH25-CF25</f>
        <v>7.83999999999992</v>
      </c>
      <c r="CH25" s="28">
        <v>1103.27</v>
      </c>
      <c r="CI25" s="28">
        <f>CJ25-CH25</f>
        <v>20.3099999999999</v>
      </c>
      <c r="CJ25" s="28">
        <v>1123.58</v>
      </c>
      <c r="CK25" s="28">
        <f>CL25-CJ25</f>
        <v>12.3000000000002</v>
      </c>
      <c r="CL25" s="28">
        <v>1135.88</v>
      </c>
      <c r="CM25" s="28">
        <f>CN25-CL25</f>
        <v>9.05999999999995</v>
      </c>
      <c r="CN25" s="28">
        <v>1144.94</v>
      </c>
      <c r="CO25" s="28">
        <f>CP25-CN25</f>
        <v>10.1199999999999</v>
      </c>
      <c r="CP25" s="28">
        <v>1155.06</v>
      </c>
      <c r="CQ25" s="24" t="s">
        <v>93</v>
      </c>
      <c r="CR25" s="18">
        <v>387.37</v>
      </c>
      <c r="CS25" s="19" t="s">
        <v>93</v>
      </c>
      <c r="CT25" s="19">
        <v>196.95</v>
      </c>
      <c r="CU25" s="3">
        <v>0</v>
      </c>
      <c r="CV25" s="3">
        <v>1</v>
      </c>
      <c r="CW25" s="3">
        <v>28066</v>
      </c>
      <c r="CX25" s="15">
        <f>2.527678/(CP25/CR25)</f>
        <v>0.847701960815888</v>
      </c>
      <c r="CY25" s="15">
        <f>BP25-D25</f>
        <v>646.61</v>
      </c>
    </row>
    <row r="26" spans="1:103">
      <c r="A26" s="8" t="s">
        <v>77</v>
      </c>
      <c r="B26" s="8" t="s">
        <v>119</v>
      </c>
      <c r="C26" s="8" t="s">
        <v>97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13"/>
      <c r="W26" s="8"/>
      <c r="X26" s="13"/>
      <c r="Y26" s="8"/>
      <c r="Z26" s="8"/>
      <c r="AA26" s="8"/>
      <c r="AB26" s="8"/>
      <c r="AC26" s="8"/>
      <c r="AD26" s="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>
        <v>788.5</v>
      </c>
      <c r="AS26" s="18">
        <f>AT26-AR26</f>
        <v>0</v>
      </c>
      <c r="AT26" s="18">
        <v>788.5</v>
      </c>
      <c r="AU26" s="24">
        <f>AV26-AT26</f>
        <v>20.29</v>
      </c>
      <c r="AV26" s="24">
        <v>808.79</v>
      </c>
      <c r="AW26" s="28">
        <f>AX26-AV26</f>
        <v>8.25999999999999</v>
      </c>
      <c r="AX26" s="28">
        <v>817.05</v>
      </c>
      <c r="AY26" s="28">
        <f>AZ26-AX26</f>
        <v>15.9300000000001</v>
      </c>
      <c r="AZ26" s="28">
        <v>832.98</v>
      </c>
      <c r="BA26" s="28">
        <f>BB26-AZ26</f>
        <v>25.21</v>
      </c>
      <c r="BB26" s="28">
        <v>858.19</v>
      </c>
      <c r="BC26" s="28">
        <f>BD26-BB26</f>
        <v>13.5699999999999</v>
      </c>
      <c r="BD26" s="28">
        <v>871.76</v>
      </c>
      <c r="BE26" s="24">
        <f>BF26-BD26</f>
        <v>30.02</v>
      </c>
      <c r="BF26" s="28">
        <v>901.78</v>
      </c>
      <c r="BG26" s="28">
        <f>BH26-BF26</f>
        <v>44.85</v>
      </c>
      <c r="BH26" s="28">
        <v>946.63</v>
      </c>
      <c r="BI26" s="28">
        <f>BJ26-BH26</f>
        <v>31.9299999999999</v>
      </c>
      <c r="BJ26" s="28">
        <v>978.56</v>
      </c>
      <c r="BK26" s="28">
        <f>BL26-BJ26</f>
        <v>13.87</v>
      </c>
      <c r="BL26" s="28">
        <v>992.43</v>
      </c>
      <c r="BM26" s="28">
        <f>BN26-BL26</f>
        <v>37.7300000000001</v>
      </c>
      <c r="BN26" s="28">
        <v>1030.16</v>
      </c>
      <c r="BO26" s="28">
        <f>BP26-BN26</f>
        <v>14.8899999999999</v>
      </c>
      <c r="BP26" s="28">
        <v>1045.05</v>
      </c>
      <c r="BQ26" s="28">
        <f>BR26-BP26</f>
        <v>16.22</v>
      </c>
      <c r="BR26" s="28">
        <v>1061.27</v>
      </c>
      <c r="BS26" s="28">
        <f>BT26-BR26</f>
        <v>22.3299999999999</v>
      </c>
      <c r="BT26" s="28">
        <v>1083.6</v>
      </c>
      <c r="BU26" s="28">
        <f>BV26-BT26</f>
        <v>14.6300000000001</v>
      </c>
      <c r="BV26" s="28">
        <v>1098.23</v>
      </c>
      <c r="BW26" s="28">
        <f>BX26-BV26</f>
        <v>18.8899999999999</v>
      </c>
      <c r="BX26" s="28">
        <v>1117.12</v>
      </c>
      <c r="BY26" s="28">
        <f>BZ26-BX26</f>
        <v>19.5900000000001</v>
      </c>
      <c r="BZ26" s="28">
        <v>1136.71</v>
      </c>
      <c r="CA26" s="28">
        <f>CB26-BZ26</f>
        <v>12.4099999999999</v>
      </c>
      <c r="CB26" s="28">
        <v>1149.12</v>
      </c>
      <c r="CC26" s="28">
        <f>CD26-CB26</f>
        <v>13.6400000000001</v>
      </c>
      <c r="CD26" s="28">
        <v>1162.76</v>
      </c>
      <c r="CE26" s="28">
        <f>CF26-CD26</f>
        <v>9.80999999999995</v>
      </c>
      <c r="CF26" s="28">
        <v>1172.57</v>
      </c>
      <c r="CG26" s="28">
        <f>CH26-CF26</f>
        <v>47.8700000000001</v>
      </c>
      <c r="CH26" s="28">
        <v>1220.44</v>
      </c>
      <c r="CI26" s="28">
        <f>CJ26-CH26</f>
        <v>10.6199999999999</v>
      </c>
      <c r="CJ26" s="28">
        <v>1231.06</v>
      </c>
      <c r="CK26" s="28">
        <f>CL26-CJ26</f>
        <v>16.49</v>
      </c>
      <c r="CL26" s="28">
        <v>1247.55</v>
      </c>
      <c r="CM26" s="28">
        <f>CN26-CL26</f>
        <v>20.51</v>
      </c>
      <c r="CN26" s="28">
        <v>1268.06</v>
      </c>
      <c r="CO26" s="28">
        <f>CP26-CN26</f>
        <v>9.00999999999999</v>
      </c>
      <c r="CP26" s="28">
        <v>1277.07</v>
      </c>
      <c r="CQ26" s="24" t="s">
        <v>101</v>
      </c>
      <c r="CR26" s="18">
        <v>272.08</v>
      </c>
      <c r="CS26" s="18" t="s">
        <v>93</v>
      </c>
      <c r="CT26" s="18">
        <v>184.85</v>
      </c>
      <c r="CU26" s="3"/>
      <c r="CV26" s="3"/>
      <c r="CW26" s="3"/>
      <c r="CX26" s="15">
        <f>2.527678/(CP26/CR26)</f>
        <v>0.538522265999514</v>
      </c>
      <c r="CY26" s="15">
        <f>BP26-D26</f>
        <v>1045.05</v>
      </c>
    </row>
    <row r="27" spans="1:103">
      <c r="A27" s="2" t="s">
        <v>77</v>
      </c>
      <c r="B27" s="2" t="s">
        <v>120</v>
      </c>
      <c r="C27" s="2" t="s">
        <v>110</v>
      </c>
      <c r="D27" s="2">
        <v>848.93</v>
      </c>
      <c r="E27" s="2">
        <f>F27-D27</f>
        <v>34.5600000000001</v>
      </c>
      <c r="F27" s="2">
        <v>883.49</v>
      </c>
      <c r="G27" s="2">
        <f>H27-F27</f>
        <v>46.08</v>
      </c>
      <c r="H27" s="2">
        <v>929.57</v>
      </c>
      <c r="I27" s="2">
        <f>J27-H27</f>
        <v>27.7399999999999</v>
      </c>
      <c r="J27" s="2">
        <v>957.31</v>
      </c>
      <c r="K27" s="2">
        <f>L27-J27</f>
        <v>47.36</v>
      </c>
      <c r="L27" s="2">
        <v>1004.67</v>
      </c>
      <c r="M27" s="2">
        <f>N27-L27</f>
        <v>25.9399999999999</v>
      </c>
      <c r="N27" s="2">
        <v>1030.61</v>
      </c>
      <c r="O27" s="2">
        <f>P27-N27</f>
        <v>37.71</v>
      </c>
      <c r="P27" s="2">
        <v>1068.32</v>
      </c>
      <c r="Q27" s="2">
        <f>R27-P27</f>
        <v>18.3800000000001</v>
      </c>
      <c r="R27" s="2">
        <v>1086.7</v>
      </c>
      <c r="S27" s="2">
        <f>T27-R27</f>
        <v>21.04</v>
      </c>
      <c r="T27" s="2">
        <v>1107.74</v>
      </c>
      <c r="U27" s="2">
        <f>V27-T27</f>
        <v>32.7</v>
      </c>
      <c r="V27" s="11">
        <v>1140.44</v>
      </c>
      <c r="W27" s="2">
        <f>X27-V27</f>
        <v>26.9299999999998</v>
      </c>
      <c r="X27" s="11">
        <v>1167.37</v>
      </c>
      <c r="Y27" s="2">
        <f>Z27-X27</f>
        <v>37.0300000000002</v>
      </c>
      <c r="Z27" s="2">
        <v>1204.4</v>
      </c>
      <c r="AA27" s="2">
        <f>AB27-Z27</f>
        <v>33.6199999999999</v>
      </c>
      <c r="AB27" s="2">
        <v>1238.02</v>
      </c>
      <c r="AC27" s="2">
        <f>AD27-AB27</f>
        <v>53.73</v>
      </c>
      <c r="AD27" s="2">
        <v>1291.75</v>
      </c>
      <c r="AE27" s="16">
        <f>AF27-AD27</f>
        <v>23.99</v>
      </c>
      <c r="AF27" s="16">
        <v>1315.74</v>
      </c>
      <c r="AG27" s="16">
        <f>AH27-AF27</f>
        <v>29.53</v>
      </c>
      <c r="AH27" s="16">
        <v>1345.27</v>
      </c>
      <c r="AI27" s="16">
        <f>AJ27-AH27</f>
        <v>26.6100000000001</v>
      </c>
      <c r="AJ27" s="16">
        <v>1371.88</v>
      </c>
      <c r="AK27" s="16">
        <f>AL27-AJ27</f>
        <v>40.3999999999999</v>
      </c>
      <c r="AL27" s="16">
        <v>1412.28</v>
      </c>
      <c r="AM27" s="16">
        <f>AN27-AL27</f>
        <v>19.74</v>
      </c>
      <c r="AN27" s="16">
        <v>1432.02</v>
      </c>
      <c r="AO27" s="16">
        <f>AP27-AN27</f>
        <v>53.23</v>
      </c>
      <c r="AP27" s="16">
        <v>1485.25</v>
      </c>
      <c r="AQ27" s="16">
        <f>AR27-AP27</f>
        <v>21.1800000000001</v>
      </c>
      <c r="AR27" s="16">
        <v>1506.43</v>
      </c>
      <c r="AS27" s="16">
        <f>AT27-AR27</f>
        <v>17.1199999999999</v>
      </c>
      <c r="AT27" s="16">
        <v>1523.55</v>
      </c>
      <c r="AU27" s="21">
        <f>AV27-AT27</f>
        <v>52.4000000000001</v>
      </c>
      <c r="AV27" s="21">
        <v>1575.95</v>
      </c>
      <c r="AW27" s="23">
        <f>AX27-AV27</f>
        <v>22.8</v>
      </c>
      <c r="AX27" s="23">
        <v>1598.75</v>
      </c>
      <c r="AY27" s="23">
        <f>AZ27-AX27</f>
        <v>41.49</v>
      </c>
      <c r="AZ27" s="23">
        <v>1640.24</v>
      </c>
      <c r="BA27" s="23">
        <f>BB27-AZ27</f>
        <v>17.73</v>
      </c>
      <c r="BB27" s="23">
        <v>1657.97</v>
      </c>
      <c r="BC27" s="23">
        <f>BD27-BB27</f>
        <v>17.8899999999999</v>
      </c>
      <c r="BD27" s="23">
        <v>1675.86</v>
      </c>
      <c r="BE27" s="21">
        <f>BF27-BD27</f>
        <v>36.3500000000001</v>
      </c>
      <c r="BF27" s="23">
        <v>1712.21</v>
      </c>
      <c r="BG27" s="23">
        <f>BH27-BF27</f>
        <v>39.54</v>
      </c>
      <c r="BH27" s="23">
        <v>1751.75</v>
      </c>
      <c r="BI27" s="23">
        <f>BJ27-BH27</f>
        <v>13.1800000000001</v>
      </c>
      <c r="BJ27" s="23">
        <v>1764.93</v>
      </c>
      <c r="BK27" s="23">
        <f>BL27-BJ27</f>
        <v>13.76</v>
      </c>
      <c r="BL27" s="23">
        <v>1778.69</v>
      </c>
      <c r="BM27" s="23">
        <f>BN27-BL27</f>
        <v>13.1299999999999</v>
      </c>
      <c r="BN27" s="23">
        <v>1791.82</v>
      </c>
      <c r="BO27" s="23">
        <f>BP27-BN27</f>
        <v>24.24</v>
      </c>
      <c r="BP27" s="23">
        <v>1816.06</v>
      </c>
      <c r="BQ27" s="23">
        <f>BR27-BP27</f>
        <v>16.3</v>
      </c>
      <c r="BR27" s="23">
        <v>1832.36</v>
      </c>
      <c r="BS27" s="23">
        <f>BT27-BR27</f>
        <v>33.98</v>
      </c>
      <c r="BT27" s="23">
        <v>1866.34</v>
      </c>
      <c r="BU27" s="23">
        <f>BV27-BT27</f>
        <v>15.5600000000002</v>
      </c>
      <c r="BV27" s="23">
        <v>1881.9</v>
      </c>
      <c r="BW27" s="23">
        <f>BX27-BV27</f>
        <v>34.51</v>
      </c>
      <c r="BX27" s="23">
        <v>1916.41</v>
      </c>
      <c r="BY27" s="23">
        <f>BZ27-BX27</f>
        <v>21.02</v>
      </c>
      <c r="BZ27" s="23">
        <v>1937.43</v>
      </c>
      <c r="CA27" s="23">
        <f>CB27-BZ27</f>
        <v>34.8799999999999</v>
      </c>
      <c r="CB27" s="23">
        <v>1972.31</v>
      </c>
      <c r="CC27" s="23">
        <f>CD27-CB27</f>
        <v>30.26</v>
      </c>
      <c r="CD27" s="23">
        <v>2002.57</v>
      </c>
      <c r="CE27" s="23">
        <f>CF27-CD27</f>
        <v>22.74</v>
      </c>
      <c r="CF27" s="23">
        <v>2025.31</v>
      </c>
      <c r="CG27" s="23">
        <f>CH27-CF27</f>
        <v>47.1799999999998</v>
      </c>
      <c r="CH27" s="23">
        <v>2072.49</v>
      </c>
      <c r="CI27" s="23">
        <f>CJ27-CH27</f>
        <v>42.1100000000001</v>
      </c>
      <c r="CJ27" s="23">
        <v>2114.6</v>
      </c>
      <c r="CK27" s="23">
        <f>CL27-CJ27</f>
        <v>16.4500000000003</v>
      </c>
      <c r="CL27" s="23">
        <v>2131.05</v>
      </c>
      <c r="CM27" s="23">
        <f>CN27-CL27</f>
        <v>11.02</v>
      </c>
      <c r="CN27" s="23">
        <v>2142.07</v>
      </c>
      <c r="CO27" s="23">
        <f>CP27-CN27</f>
        <v>4.62999999999965</v>
      </c>
      <c r="CP27" s="23">
        <v>2146.7</v>
      </c>
      <c r="CQ27" s="21" t="s">
        <v>71</v>
      </c>
      <c r="CR27" s="16">
        <v>912.82</v>
      </c>
      <c r="CS27" s="18" t="s">
        <v>72</v>
      </c>
      <c r="CT27" s="18">
        <v>556.77</v>
      </c>
      <c r="CU27" s="8">
        <v>30</v>
      </c>
      <c r="CV27" s="8">
        <v>3.2</v>
      </c>
      <c r="CW27" s="8">
        <v>78989</v>
      </c>
      <c r="CX27" s="15">
        <f>2.527678/(CP27/CR27)</f>
        <v>1.07481950526855</v>
      </c>
      <c r="CY27" s="15">
        <f>BP27-D27</f>
        <v>967.13</v>
      </c>
    </row>
    <row r="28" spans="1:103">
      <c r="A28" s="3" t="s">
        <v>107</v>
      </c>
      <c r="B28" s="3" t="s">
        <v>121</v>
      </c>
      <c r="C28" s="3" t="s">
        <v>97</v>
      </c>
      <c r="D28" s="3">
        <v>552.79</v>
      </c>
      <c r="E28" s="3">
        <f>F28-D28</f>
        <v>15.9400000000001</v>
      </c>
      <c r="F28" s="3">
        <v>568.73</v>
      </c>
      <c r="G28" s="3">
        <f>H28-F28</f>
        <v>1.61000000000001</v>
      </c>
      <c r="H28" s="3">
        <v>570.34</v>
      </c>
      <c r="I28" s="3">
        <f>J28-H28</f>
        <v>7.13999999999999</v>
      </c>
      <c r="J28" s="3">
        <v>577.48</v>
      </c>
      <c r="K28" s="3">
        <f>L28-J28</f>
        <v>2.88999999999999</v>
      </c>
      <c r="L28" s="3">
        <v>580.37</v>
      </c>
      <c r="M28" s="3">
        <f>N28-L28</f>
        <v>2.55999999999995</v>
      </c>
      <c r="N28" s="3">
        <v>582.93</v>
      </c>
      <c r="O28" s="3">
        <f>P28-N28</f>
        <v>24.99</v>
      </c>
      <c r="P28" s="3">
        <v>607.92</v>
      </c>
      <c r="Q28" s="3">
        <f>R28-P28</f>
        <v>0.330000000000041</v>
      </c>
      <c r="R28" s="3">
        <v>608.25</v>
      </c>
      <c r="S28" s="3">
        <f>T28-R28</f>
        <v>1.80999999999995</v>
      </c>
      <c r="T28" s="3">
        <v>610.06</v>
      </c>
      <c r="U28" s="3">
        <f>V28-T28</f>
        <v>0.560000000000059</v>
      </c>
      <c r="V28" s="14">
        <v>610.62</v>
      </c>
      <c r="W28" s="3">
        <f>X28-V28</f>
        <v>3.83000000000004</v>
      </c>
      <c r="X28" s="14">
        <v>614.45</v>
      </c>
      <c r="Y28" s="3">
        <f>Z28-X28</f>
        <v>0.189999999999941</v>
      </c>
      <c r="Z28" s="3">
        <v>614.64</v>
      </c>
      <c r="AA28" s="3">
        <f>AB28-Z28</f>
        <v>0.690000000000055</v>
      </c>
      <c r="AB28" s="3">
        <v>615.33</v>
      </c>
      <c r="AC28" s="3">
        <f>AD28-AB28</f>
        <v>6.64999999999998</v>
      </c>
      <c r="AD28" s="3">
        <v>621.98</v>
      </c>
      <c r="AE28" s="19">
        <f>AF28-AD28</f>
        <v>0</v>
      </c>
      <c r="AF28" s="19">
        <v>621.98</v>
      </c>
      <c r="AG28" s="19">
        <f>AH28-AF28</f>
        <v>13.62</v>
      </c>
      <c r="AH28" s="19">
        <v>635.6</v>
      </c>
      <c r="AI28" s="19">
        <f>AJ28-AH28</f>
        <v>16.48</v>
      </c>
      <c r="AJ28" s="19">
        <v>652.08</v>
      </c>
      <c r="AK28" s="19">
        <f>AL28-AJ28</f>
        <v>5.84999999999991</v>
      </c>
      <c r="AL28" s="19">
        <v>657.93</v>
      </c>
      <c r="AM28" s="19">
        <f>AN28-AL28</f>
        <v>5.80000000000007</v>
      </c>
      <c r="AN28" s="19">
        <v>663.73</v>
      </c>
      <c r="AO28" s="19">
        <f>AP28-AN28</f>
        <v>13.75</v>
      </c>
      <c r="AP28" s="19">
        <v>677.48</v>
      </c>
      <c r="AQ28" s="19">
        <f>AR28-AP28</f>
        <v>3.60000000000002</v>
      </c>
      <c r="AR28" s="19">
        <v>681.08</v>
      </c>
      <c r="AS28" s="19">
        <f>AT28-AR28</f>
        <v>12.0799999999999</v>
      </c>
      <c r="AT28" s="19">
        <v>693.16</v>
      </c>
      <c r="AU28" s="25">
        <f>AV28-AT28</f>
        <v>4.29000000000008</v>
      </c>
      <c r="AV28" s="25">
        <v>697.45</v>
      </c>
      <c r="AW28" s="29">
        <f>AX28-AV28</f>
        <v>1.69999999999993</v>
      </c>
      <c r="AX28" s="29">
        <v>699.15</v>
      </c>
      <c r="AY28" s="29">
        <f>AZ28-AX28</f>
        <v>1.69000000000005</v>
      </c>
      <c r="AZ28" s="29">
        <v>700.84</v>
      </c>
      <c r="BA28" s="29">
        <f>BB28-AZ28</f>
        <v>8.5</v>
      </c>
      <c r="BB28" s="29">
        <v>709.34</v>
      </c>
      <c r="BC28" s="29">
        <f>BD28-BB28</f>
        <v>2.5</v>
      </c>
      <c r="BD28" s="29">
        <v>711.84</v>
      </c>
      <c r="BE28" s="25">
        <f>BF28-BD28</f>
        <v>0</v>
      </c>
      <c r="BF28" s="29">
        <v>711.84</v>
      </c>
      <c r="BG28" s="29">
        <f>BH28-BF28</f>
        <v>5.63999999999999</v>
      </c>
      <c r="BH28" s="29">
        <v>717.48</v>
      </c>
      <c r="BI28" s="29">
        <f>BJ28-BH28</f>
        <v>3.46000000000004</v>
      </c>
      <c r="BJ28" s="29">
        <v>720.94</v>
      </c>
      <c r="BK28" s="29">
        <f>BL28-BJ28</f>
        <v>0.75</v>
      </c>
      <c r="BL28" s="29">
        <v>721.69</v>
      </c>
      <c r="BM28" s="29">
        <f>BN28-BL28</f>
        <v>4.17999999999995</v>
      </c>
      <c r="BN28" s="29">
        <v>725.87</v>
      </c>
      <c r="BO28" s="29">
        <f>BP28-BN28</f>
        <v>1.95000000000005</v>
      </c>
      <c r="BP28" s="29">
        <v>727.82</v>
      </c>
      <c r="BQ28" s="29">
        <f>BR28-BP28</f>
        <v>7.20999999999992</v>
      </c>
      <c r="BR28" s="29">
        <v>735.03</v>
      </c>
      <c r="BS28" s="29">
        <f>BT28-BR28</f>
        <v>0</v>
      </c>
      <c r="BT28" s="29">
        <v>735.03</v>
      </c>
      <c r="BU28" s="29">
        <f>BV28-BT28</f>
        <v>1.37</v>
      </c>
      <c r="BV28" s="29">
        <v>736.4</v>
      </c>
      <c r="BW28" s="29">
        <f>BX28-BV28</f>
        <v>4.48000000000002</v>
      </c>
      <c r="BX28" s="29">
        <v>740.88</v>
      </c>
      <c r="BY28" s="29">
        <f>BZ28-BX28</f>
        <v>0</v>
      </c>
      <c r="BZ28" s="29">
        <v>740.88</v>
      </c>
      <c r="CA28" s="29">
        <f>CB28-BZ28</f>
        <v>0.259999999999991</v>
      </c>
      <c r="CB28" s="29">
        <v>741.14</v>
      </c>
      <c r="CC28" s="29">
        <f>CD28-CB28</f>
        <v>0.610000000000014</v>
      </c>
      <c r="CD28" s="29">
        <v>741.75</v>
      </c>
      <c r="CE28" s="29">
        <f>CF28-CD28</f>
        <v>4.10000000000002</v>
      </c>
      <c r="CF28" s="29">
        <v>745.85</v>
      </c>
      <c r="CG28" s="29">
        <f>CH28-CF28</f>
        <v>13.17</v>
      </c>
      <c r="CH28" s="29">
        <v>759.02</v>
      </c>
      <c r="CI28" s="29">
        <f>CJ28-CH28</f>
        <v>1.38999999999999</v>
      </c>
      <c r="CJ28" s="29">
        <v>760.41</v>
      </c>
      <c r="CK28" s="29">
        <f>CL28-CJ28</f>
        <v>5.99000000000001</v>
      </c>
      <c r="CL28" s="29">
        <v>766.4</v>
      </c>
      <c r="CM28" s="29">
        <f>CN28-CL28</f>
        <v>1.76999999999998</v>
      </c>
      <c r="CN28" s="29">
        <v>768.17</v>
      </c>
      <c r="CO28" s="29">
        <f>CP28-CN28</f>
        <v>0.129999999999995</v>
      </c>
      <c r="CP28" s="29">
        <v>768.3</v>
      </c>
      <c r="CQ28" s="25" t="s">
        <v>93</v>
      </c>
      <c r="CR28" s="19">
        <v>203.02</v>
      </c>
      <c r="CS28" s="19" t="s">
        <v>101</v>
      </c>
      <c r="CT28" s="19">
        <v>171.75</v>
      </c>
      <c r="CU28" s="3">
        <v>0</v>
      </c>
      <c r="CV28" s="3">
        <v>0.5</v>
      </c>
      <c r="CW28" s="3">
        <v>49654</v>
      </c>
      <c r="CX28" s="15">
        <f>2.527678/(CP28/CR28)</f>
        <v>0.667928136873617</v>
      </c>
      <c r="CY28" s="15">
        <f>BP28-D28</f>
        <v>175.03</v>
      </c>
    </row>
    <row r="31" spans="1:96">
      <c r="A31" t="s">
        <v>122</v>
      </c>
      <c r="B31" t="s">
        <v>123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30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</row>
    <row r="32" spans="1:99">
      <c r="A32" t="s">
        <v>124</v>
      </c>
      <c r="B32" t="s">
        <v>125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30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</row>
    <row r="33" spans="1:2">
      <c r="A33" t="s">
        <v>97</v>
      </c>
      <c r="B33" t="s">
        <v>126</v>
      </c>
    </row>
    <row r="34" spans="1:95">
      <c r="A34" t="s">
        <v>110</v>
      </c>
      <c r="B34" t="s">
        <v>127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30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</row>
    <row r="35" spans="1:2">
      <c r="A35" t="s">
        <v>83</v>
      </c>
      <c r="B35" t="s">
        <v>128</v>
      </c>
    </row>
    <row r="36" spans="1:2">
      <c r="A36" t="s">
        <v>70</v>
      </c>
      <c r="B36" t="s">
        <v>129</v>
      </c>
    </row>
    <row r="37" spans="1:2">
      <c r="A37" t="s">
        <v>79</v>
      </c>
      <c r="B37" t="s">
        <v>130</v>
      </c>
    </row>
    <row r="38" spans="1:2">
      <c r="A38" t="s">
        <v>62</v>
      </c>
      <c r="B38" t="s">
        <v>131</v>
      </c>
    </row>
    <row r="39" spans="1:2">
      <c r="A39" t="s">
        <v>132</v>
      </c>
      <c r="B39" t="s">
        <v>133</v>
      </c>
    </row>
    <row r="40" spans="1:2">
      <c r="A40" t="s">
        <v>134</v>
      </c>
      <c r="B40" t="s">
        <v>135</v>
      </c>
    </row>
  </sheetData>
  <sortState ref="A2:CY28">
    <sortCondition ref="CO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38"/>
  <sheetViews>
    <sheetView topLeftCell="AI1" workbookViewId="0">
      <selection activeCell="AS39" sqref="AS39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46" width="16.125" customWidth="1"/>
    <col min="47" max="47" width="12.7583333333333" customWidth="1"/>
    <col min="48" max="48" width="14" customWidth="1"/>
    <col min="50" max="50" width="11.7583333333333" customWidth="1"/>
  </cols>
  <sheetData>
    <row r="1" spans="1:46">
      <c r="A1" t="s">
        <v>0</v>
      </c>
      <c r="B1" t="s">
        <v>136</v>
      </c>
      <c r="C1" t="s">
        <v>137</v>
      </c>
      <c r="D1" t="s">
        <v>138</v>
      </c>
      <c r="E1" t="s">
        <v>139</v>
      </c>
      <c r="F1" t="s">
        <v>140</v>
      </c>
      <c r="G1" t="s">
        <v>141</v>
      </c>
      <c r="H1" t="s">
        <v>142</v>
      </c>
      <c r="I1" t="s">
        <v>143</v>
      </c>
      <c r="J1" t="s">
        <v>144</v>
      </c>
      <c r="K1" t="s">
        <v>145</v>
      </c>
      <c r="L1" t="s">
        <v>146</v>
      </c>
      <c r="M1" t="s">
        <v>147</v>
      </c>
      <c r="N1" t="s">
        <v>148</v>
      </c>
      <c r="O1" t="s">
        <v>149</v>
      </c>
      <c r="P1" t="s">
        <v>150</v>
      </c>
      <c r="Q1" t="s">
        <v>151</v>
      </c>
      <c r="R1" t="s">
        <v>152</v>
      </c>
      <c r="S1" t="s">
        <v>153</v>
      </c>
      <c r="T1" t="s">
        <v>154</v>
      </c>
      <c r="U1" t="s">
        <v>155</v>
      </c>
      <c r="V1" t="s">
        <v>156</v>
      </c>
      <c r="W1" t="s">
        <v>157</v>
      </c>
      <c r="X1" t="s">
        <v>158</v>
      </c>
      <c r="Y1" t="s">
        <v>159</v>
      </c>
      <c r="Z1" t="s">
        <v>160</v>
      </c>
      <c r="AA1" t="s">
        <v>161</v>
      </c>
      <c r="AB1" t="s">
        <v>162</v>
      </c>
      <c r="AC1" t="s">
        <v>163</v>
      </c>
      <c r="AD1" t="s">
        <v>164</v>
      </c>
      <c r="AE1" t="s">
        <v>165</v>
      </c>
      <c r="AF1" t="s">
        <v>166</v>
      </c>
      <c r="AG1" t="s">
        <v>167</v>
      </c>
      <c r="AH1" t="s">
        <v>168</v>
      </c>
      <c r="AI1" t="s">
        <v>169</v>
      </c>
      <c r="AJ1" t="s">
        <v>170</v>
      </c>
      <c r="AK1" t="s">
        <v>171</v>
      </c>
      <c r="AL1" t="s">
        <v>172</v>
      </c>
      <c r="AM1" t="s">
        <v>173</v>
      </c>
      <c r="AN1" t="s">
        <v>174</v>
      </c>
      <c r="AO1" t="s">
        <v>175</v>
      </c>
      <c r="AP1" t="s">
        <v>176</v>
      </c>
      <c r="AQ1" t="s">
        <v>177</v>
      </c>
      <c r="AR1" t="s">
        <v>178</v>
      </c>
      <c r="AS1" t="s">
        <v>179</v>
      </c>
      <c r="AT1" t="s">
        <v>180</v>
      </c>
    </row>
    <row r="2" spans="1:46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1">
        <v>6080</v>
      </c>
      <c r="AL2" s="1">
        <v>7495</v>
      </c>
      <c r="AM2" s="5">
        <v>4725</v>
      </c>
      <c r="AN2" s="1">
        <v>5205</v>
      </c>
      <c r="AO2" s="5">
        <v>4350</v>
      </c>
      <c r="AP2" s="5">
        <v>6305</v>
      </c>
      <c r="AQ2" s="5">
        <v>5440</v>
      </c>
      <c r="AR2" s="1">
        <v>7160</v>
      </c>
      <c r="AS2" s="1">
        <v>7920</v>
      </c>
      <c r="AT2" s="7">
        <f>SUM(A2:AS2)</f>
        <v>324990</v>
      </c>
    </row>
    <row r="3" spans="1:46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3">
        <v>3045</v>
      </c>
      <c r="AL3" s="3">
        <v>3035</v>
      </c>
      <c r="AM3" s="7">
        <v>1355</v>
      </c>
      <c r="AN3" s="7">
        <v>1305</v>
      </c>
      <c r="AO3" s="7">
        <v>1260</v>
      </c>
      <c r="AP3" s="7">
        <v>980</v>
      </c>
      <c r="AQ3" s="7">
        <v>1465</v>
      </c>
      <c r="AR3" s="7">
        <v>1005</v>
      </c>
      <c r="AS3" s="7">
        <v>1390</v>
      </c>
      <c r="AT3" s="7">
        <f t="shared" ref="AT3:AT9" si="0">SUM(A3:AS3)</f>
        <v>193521</v>
      </c>
    </row>
    <row r="4" spans="1:46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v>260</v>
      </c>
      <c r="AL4" s="7">
        <v>155</v>
      </c>
      <c r="AM4" s="7">
        <v>80</v>
      </c>
      <c r="AN4" s="7">
        <v>130</v>
      </c>
      <c r="AO4" s="7">
        <v>130</v>
      </c>
      <c r="AP4" s="7">
        <v>200</v>
      </c>
      <c r="AQ4" s="7">
        <v>105</v>
      </c>
      <c r="AR4" s="7">
        <v>60</v>
      </c>
      <c r="AS4" s="7">
        <v>145</v>
      </c>
      <c r="AT4" s="7">
        <f t="shared" si="0"/>
        <v>19622</v>
      </c>
    </row>
    <row r="5" spans="1:46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5">
        <v>5490</v>
      </c>
      <c r="AL5" s="5">
        <v>5245</v>
      </c>
      <c r="AM5" s="1">
        <v>5785</v>
      </c>
      <c r="AN5" s="5">
        <v>5150</v>
      </c>
      <c r="AO5" s="1">
        <v>6970</v>
      </c>
      <c r="AP5" s="1">
        <v>6935</v>
      </c>
      <c r="AQ5" s="1">
        <v>5845</v>
      </c>
      <c r="AR5" s="5">
        <v>5390</v>
      </c>
      <c r="AS5" s="5">
        <v>4360</v>
      </c>
      <c r="AT5" s="7">
        <f t="shared" si="0"/>
        <v>299483</v>
      </c>
    </row>
    <row r="6" spans="1:46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v>1480</v>
      </c>
      <c r="AL6" s="7">
        <v>660</v>
      </c>
      <c r="AM6" s="7">
        <v>1110</v>
      </c>
      <c r="AN6" s="7">
        <v>1595</v>
      </c>
      <c r="AO6" s="7">
        <v>975</v>
      </c>
      <c r="AP6" s="7">
        <v>1560</v>
      </c>
      <c r="AQ6" s="7">
        <v>1030</v>
      </c>
      <c r="AR6" s="7">
        <v>775</v>
      </c>
      <c r="AS6" s="7">
        <v>995</v>
      </c>
      <c r="AT6" s="7">
        <f t="shared" si="0"/>
        <v>67759</v>
      </c>
    </row>
    <row r="7" spans="1:46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v>1275</v>
      </c>
      <c r="AL7" s="7">
        <v>640</v>
      </c>
      <c r="AM7" s="7">
        <v>485</v>
      </c>
      <c r="AN7" s="7">
        <v>680</v>
      </c>
      <c r="AO7" s="7">
        <v>1030</v>
      </c>
      <c r="AP7" s="7">
        <v>1520</v>
      </c>
      <c r="AQ7" s="7">
        <v>1515</v>
      </c>
      <c r="AR7" s="7">
        <v>1775</v>
      </c>
      <c r="AS7" s="7">
        <v>1260</v>
      </c>
      <c r="AT7" s="7">
        <f t="shared" si="0"/>
        <v>80180</v>
      </c>
    </row>
    <row r="8" spans="1:46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v>2370</v>
      </c>
      <c r="AL8" s="7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7">
        <f t="shared" si="0"/>
        <v>129591</v>
      </c>
    </row>
    <row r="9" spans="1:46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v>1592</v>
      </c>
      <c r="AL9" s="7">
        <v>1075</v>
      </c>
      <c r="AM9" s="7">
        <v>1005</v>
      </c>
      <c r="AN9" s="7">
        <v>1455</v>
      </c>
      <c r="AO9" s="7">
        <v>730</v>
      </c>
      <c r="AP9" s="7">
        <v>2315</v>
      </c>
      <c r="AQ9" s="7">
        <v>1750</v>
      </c>
      <c r="AR9" s="7">
        <v>1025</v>
      </c>
      <c r="AS9" s="7">
        <v>1520</v>
      </c>
      <c r="AT9" s="7">
        <f t="shared" si="0"/>
        <v>80859</v>
      </c>
    </row>
    <row r="14" spans="1:46">
      <c r="A14" t="s">
        <v>181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T14">
        <f>SUM(B14:AR14)</f>
        <v>1175167</v>
      </c>
    </row>
    <row r="18" ht="10" customHeight="1"/>
    <row r="19" spans="1:1">
      <c r="A19" t="s">
        <v>182</v>
      </c>
    </row>
    <row r="20" spans="1:45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</row>
    <row r="21" spans="1:45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</row>
    <row r="22" spans="1:45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</row>
    <row r="23" spans="1:45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</row>
    <row r="24" spans="1:45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</row>
    <row r="25" spans="1:45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</row>
    <row r="26" spans="1:45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</row>
    <row r="27" spans="1:45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</row>
    <row r="29" spans="1:46">
      <c r="A29" t="s">
        <v>183</v>
      </c>
      <c r="AT29" t="s">
        <v>184</v>
      </c>
    </row>
    <row r="30" spans="2:46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</row>
    <row r="31" spans="1:46">
      <c r="A31">
        <v>145</v>
      </c>
      <c r="B31" s="4">
        <f t="shared" ref="B31:B38" si="3">B20/1</f>
        <v>1</v>
      </c>
      <c r="C31" s="4">
        <f t="shared" ref="C31:C38" si="4">SUM(B20:C20)/2</f>
        <v>1</v>
      </c>
      <c r="D31" s="4">
        <f t="shared" ref="D31:D38" si="5">SUM(B20:D20)/3</f>
        <v>1</v>
      </c>
      <c r="E31" s="4">
        <f t="shared" ref="E31:E38" si="6">SUM(B20:E20)/4</f>
        <v>1</v>
      </c>
      <c r="F31" s="4">
        <f t="shared" ref="F31:F38" si="7">SUM(B20:F20)/5</f>
        <v>1</v>
      </c>
      <c r="G31" s="4">
        <f t="shared" ref="G31:G38" si="8">SUM(B20:G20)/6</f>
        <v>1.16666666666667</v>
      </c>
      <c r="H31" s="4">
        <f t="shared" ref="H31:H38" si="9">SUM(B20:H20)/7</f>
        <v>1.28571428571429</v>
      </c>
      <c r="I31" s="4">
        <f t="shared" ref="I31:I38" si="10">SUM(B20:I20)/8</f>
        <v>1.25</v>
      </c>
      <c r="J31" s="4">
        <f t="shared" ref="J31:J38" si="11">SUM(B20:J20)/9</f>
        <v>1.33333333333333</v>
      </c>
      <c r="K31" s="4">
        <f t="shared" ref="K31:K38" si="12">SUM(B20:K20)/10</f>
        <v>1.5</v>
      </c>
      <c r="L31" s="4">
        <f t="shared" ref="L31:L38" si="13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SUM(B20:AK20)/36</f>
        <v>1.47222222222222</v>
      </c>
      <c r="AL31" s="4">
        <f>SUM(B20:AL20)/37</f>
        <v>1.45945945945946</v>
      </c>
      <c r="AM31" s="4">
        <f>SUM(B20:AM20)/38</f>
        <v>1.47368421052632</v>
      </c>
      <c r="AN31" s="4">
        <f>SUM(B20:AN20)/39</f>
        <v>1.46153846153846</v>
      </c>
      <c r="AO31" s="4">
        <f>SUM(B20:AO20)/40</f>
        <v>1.475</v>
      </c>
      <c r="AP31" s="4">
        <f>SUM(B20:AP20)/41</f>
        <v>1.48780487804878</v>
      </c>
      <c r="AQ31" s="4">
        <f>SUM(B20:AQ20)/42</f>
        <v>1.5</v>
      </c>
      <c r="AR31" s="4">
        <f>SUM(B20:AR20)/43</f>
        <v>1.48837209302326</v>
      </c>
      <c r="AS31" s="4">
        <f>SUM(B20:AS20)/44</f>
        <v>1.47727272727273</v>
      </c>
      <c r="AT31" s="4">
        <f>B31-AS31</f>
        <v>-0.477272727272727</v>
      </c>
    </row>
    <row r="32" spans="1:46">
      <c r="A32">
        <v>146</v>
      </c>
      <c r="B32" s="4">
        <f t="shared" si="3"/>
        <v>3</v>
      </c>
      <c r="C32" s="4">
        <f t="shared" si="4"/>
        <v>3</v>
      </c>
      <c r="D32" s="4">
        <f t="shared" si="5"/>
        <v>2.66666666666667</v>
      </c>
      <c r="E32" s="4">
        <f t="shared" si="6"/>
        <v>2.75</v>
      </c>
      <c r="F32" s="4">
        <f t="shared" si="7"/>
        <v>2.6</v>
      </c>
      <c r="G32" s="4">
        <f t="shared" si="8"/>
        <v>2.33333333333333</v>
      </c>
      <c r="H32" s="4">
        <f t="shared" si="9"/>
        <v>2.42857142857143</v>
      </c>
      <c r="I32" s="4">
        <f t="shared" si="10"/>
        <v>2.375</v>
      </c>
      <c r="J32" s="4">
        <f t="shared" si="11"/>
        <v>2.22222222222222</v>
      </c>
      <c r="K32" s="4">
        <f t="shared" si="12"/>
        <v>2.2</v>
      </c>
      <c r="L32" s="4">
        <f t="shared" si="13"/>
        <v>2.27272727272727</v>
      </c>
      <c r="M32" s="4">
        <f t="shared" ref="M32:M38" si="14">SUM(B21:M21)/12</f>
        <v>2.33333333333333</v>
      </c>
      <c r="N32" s="4">
        <f t="shared" ref="N32:N38" si="15">SUM(B21:N21)/13</f>
        <v>2.38461538461538</v>
      </c>
      <c r="O32" s="4">
        <f t="shared" ref="O32:O38" si="16">SUM(B21:O21)/14</f>
        <v>2.42857142857143</v>
      </c>
      <c r="P32" s="4">
        <f t="shared" ref="P32:P38" si="17">SUM(B21:P21)/15</f>
        <v>2.46666666666667</v>
      </c>
      <c r="Q32" s="4">
        <f t="shared" ref="Q32:Q38" si="18">SUM(B21:Q21)/16</f>
        <v>2.5</v>
      </c>
      <c r="R32" s="4">
        <f t="shared" ref="R32:R38" si="19">SUM(B21:R21)/17</f>
        <v>2.52941176470588</v>
      </c>
      <c r="S32" s="4">
        <f t="shared" ref="S32:S38" si="20">SUM(B21:S21)/18</f>
        <v>2.55555555555556</v>
      </c>
      <c r="T32" s="4">
        <f t="shared" ref="T32:T38" si="21">SUM(B21:T21)/19</f>
        <v>2.57894736842105</v>
      </c>
      <c r="U32" s="4">
        <f t="shared" ref="U32:U38" si="22">SUM(B21:U21)/20</f>
        <v>2.6</v>
      </c>
      <c r="V32" s="4">
        <f t="shared" ref="V32:V38" si="23">SUM(B21:V21)/21</f>
        <v>2.66666666666667</v>
      </c>
      <c r="W32" s="4">
        <f>SUM(B21:W21)/22</f>
        <v>2.72727272727273</v>
      </c>
      <c r="X32" s="4">
        <f t="shared" ref="X32:X38" si="24">SUM(B21:X21)/23</f>
        <v>2.73913043478261</v>
      </c>
      <c r="Y32" s="4">
        <f t="shared" ref="Y32:Y38" si="25">SUM(B21:Y21)/24</f>
        <v>2.75</v>
      </c>
      <c r="Z32" s="4">
        <f t="shared" ref="Z32:Z38" si="26">SUM(B21:Z21)/25</f>
        <v>2.72</v>
      </c>
      <c r="AA32" s="4">
        <f t="shared" ref="AA32:AA38" si="27">SUM(B21:AA21)/26</f>
        <v>2.73076923076923</v>
      </c>
      <c r="AB32" s="4">
        <f t="shared" ref="AB32:AB38" si="28">SUM(B21:AB21)/27</f>
        <v>2.77777777777778</v>
      </c>
      <c r="AC32" s="4">
        <f t="shared" ref="AC32:AC38" si="29">SUM(B21:AC21)/28</f>
        <v>2.82142857142857</v>
      </c>
      <c r="AD32" s="4">
        <f t="shared" ref="AD32:AD38" si="30">SUM(B21:AD21)/29</f>
        <v>2.82758620689655</v>
      </c>
      <c r="AE32" s="4">
        <f t="shared" ref="AE32:AE38" si="31">SUM(B21:AE21)/30</f>
        <v>2.83333333333333</v>
      </c>
      <c r="AF32" s="4">
        <f t="shared" ref="AF32:AF38" si="32">SUM(B21:AF21)/31</f>
        <v>2.80645161290323</v>
      </c>
      <c r="AG32" s="4">
        <f t="shared" ref="AG32:AG38" si="33">SUM(B21:AG21)/32</f>
        <v>2.8125</v>
      </c>
      <c r="AH32" s="4">
        <f t="shared" ref="AH32:AH38" si="34">SUM(B21:AH21)/33</f>
        <v>2.81818181818182</v>
      </c>
      <c r="AI32" s="4">
        <f t="shared" ref="AI32:AI38" si="35">SUM(B21:AI21)/34</f>
        <v>2.82352941176471</v>
      </c>
      <c r="AJ32" s="4">
        <f t="shared" ref="AJ32:AJ38" si="36">SUM(B21:AJ21)/35</f>
        <v>2.85714285714286</v>
      </c>
      <c r="AK32" s="4">
        <f t="shared" ref="AK32:AK38" si="37">SUM(B21:AK21)/36</f>
        <v>2.86111111111111</v>
      </c>
      <c r="AL32" s="4">
        <f t="shared" ref="AL32:AL38" si="38">SUM(B21:AL21)/37</f>
        <v>2.86486486486486</v>
      </c>
      <c r="AM32" s="4">
        <f t="shared" ref="AM32:AM38" si="39">SUM(B21:AM21)/38</f>
        <v>2.89473684210526</v>
      </c>
      <c r="AN32" s="4">
        <f t="shared" ref="AN32:AN38" si="40">SUM(B21:AN21)/39</f>
        <v>2.97435897435897</v>
      </c>
      <c r="AO32" s="4">
        <f t="shared" ref="AO32:AO38" si="41">SUM(B21:AO21)/40</f>
        <v>3</v>
      </c>
      <c r="AP32" s="4">
        <f t="shared" ref="AP32:AP38" si="42">SUM(B21:AP21)/41</f>
        <v>3.09756097560976</v>
      </c>
      <c r="AQ32" s="4">
        <f t="shared" ref="AQ32:AQ38" si="43">SUM(B21:AQ21)/42</f>
        <v>3.16666666666667</v>
      </c>
      <c r="AR32" s="4">
        <f t="shared" ref="AR32:AR38" si="44">SUM(B21:AR21)/43</f>
        <v>3.23255813953488</v>
      </c>
      <c r="AS32" s="4">
        <f t="shared" ref="AS32:AS38" si="45">SUM(B21:AS21)/44</f>
        <v>3.27272727272727</v>
      </c>
      <c r="AT32" s="4">
        <f t="shared" ref="AT32:AT38" si="46">B32-AS32</f>
        <v>-0.272727272727273</v>
      </c>
    </row>
    <row r="33" spans="1:46">
      <c r="A33">
        <v>147</v>
      </c>
      <c r="B33" s="4">
        <f t="shared" si="3"/>
        <v>8</v>
      </c>
      <c r="C33" s="4">
        <f t="shared" si="4"/>
        <v>8</v>
      </c>
      <c r="D33" s="4">
        <f t="shared" si="5"/>
        <v>8</v>
      </c>
      <c r="E33" s="4">
        <f t="shared" si="6"/>
        <v>8</v>
      </c>
      <c r="F33" s="4">
        <f t="shared" si="7"/>
        <v>8</v>
      </c>
      <c r="G33" s="4">
        <f t="shared" si="8"/>
        <v>8</v>
      </c>
      <c r="H33" s="4">
        <f t="shared" si="9"/>
        <v>8</v>
      </c>
      <c r="I33" s="4">
        <f t="shared" si="10"/>
        <v>8</v>
      </c>
      <c r="J33" s="4">
        <f t="shared" si="11"/>
        <v>8</v>
      </c>
      <c r="K33" s="4">
        <f t="shared" si="12"/>
        <v>8</v>
      </c>
      <c r="L33" s="4">
        <f t="shared" si="13"/>
        <v>8</v>
      </c>
      <c r="M33" s="4">
        <f t="shared" si="14"/>
        <v>8</v>
      </c>
      <c r="N33" s="4">
        <f t="shared" si="15"/>
        <v>8</v>
      </c>
      <c r="O33" s="4">
        <f t="shared" si="16"/>
        <v>8</v>
      </c>
      <c r="P33" s="4">
        <f t="shared" si="17"/>
        <v>8</v>
      </c>
      <c r="Q33" s="4">
        <f t="shared" si="18"/>
        <v>8</v>
      </c>
      <c r="R33" s="4">
        <f t="shared" si="19"/>
        <v>8</v>
      </c>
      <c r="S33" s="4">
        <f t="shared" si="20"/>
        <v>8</v>
      </c>
      <c r="T33" s="4">
        <f t="shared" si="21"/>
        <v>8</v>
      </c>
      <c r="U33" s="4">
        <f t="shared" si="22"/>
        <v>8</v>
      </c>
      <c r="V33" s="4">
        <f t="shared" si="23"/>
        <v>8</v>
      </c>
      <c r="W33" s="4">
        <f>SUM(B22:W22)/22</f>
        <v>7.95454545454545</v>
      </c>
      <c r="X33" s="4">
        <f t="shared" si="24"/>
        <v>7.91304347826087</v>
      </c>
      <c r="Y33" s="4">
        <f t="shared" si="25"/>
        <v>7.91666666666667</v>
      </c>
      <c r="Z33" s="4">
        <f t="shared" si="26"/>
        <v>7.92</v>
      </c>
      <c r="AA33" s="4">
        <f t="shared" si="27"/>
        <v>7.92307692307692</v>
      </c>
      <c r="AB33" s="4">
        <f t="shared" si="28"/>
        <v>7.92592592592593</v>
      </c>
      <c r="AC33" s="4">
        <f t="shared" si="29"/>
        <v>7.92857142857143</v>
      </c>
      <c r="AD33" s="4">
        <f t="shared" si="30"/>
        <v>7.93103448275862</v>
      </c>
      <c r="AE33" s="4">
        <f t="shared" si="31"/>
        <v>7.93333333333333</v>
      </c>
      <c r="AF33" s="4">
        <f t="shared" si="32"/>
        <v>7.93548387096774</v>
      </c>
      <c r="AG33" s="4">
        <f t="shared" si="33"/>
        <v>7.9375</v>
      </c>
      <c r="AH33" s="4">
        <f t="shared" si="34"/>
        <v>7.93939393939394</v>
      </c>
      <c r="AI33" s="4">
        <f t="shared" si="35"/>
        <v>7.94117647058824</v>
      </c>
      <c r="AJ33" s="4">
        <f t="shared" si="36"/>
        <v>7.94285714285714</v>
      </c>
      <c r="AK33" s="4">
        <f t="shared" si="37"/>
        <v>7.94444444444444</v>
      </c>
      <c r="AL33" s="4">
        <f t="shared" si="38"/>
        <v>7.94594594594595</v>
      </c>
      <c r="AM33" s="4">
        <f t="shared" si="39"/>
        <v>7.94736842105263</v>
      </c>
      <c r="AN33" s="4">
        <f t="shared" si="40"/>
        <v>7.94871794871795</v>
      </c>
      <c r="AO33" s="4">
        <f t="shared" si="41"/>
        <v>7.95</v>
      </c>
      <c r="AP33" s="4">
        <f t="shared" si="42"/>
        <v>7.95121951219512</v>
      </c>
      <c r="AQ33" s="4">
        <f t="shared" si="43"/>
        <v>7.95238095238095</v>
      </c>
      <c r="AR33" s="4">
        <f t="shared" si="44"/>
        <v>7.95348837209302</v>
      </c>
      <c r="AS33" s="4">
        <f t="shared" si="45"/>
        <v>7.95454545454545</v>
      </c>
      <c r="AT33" s="4">
        <f t="shared" si="46"/>
        <v>0.0454545454545459</v>
      </c>
    </row>
    <row r="34" spans="1:46">
      <c r="A34">
        <v>148</v>
      </c>
      <c r="B34" s="4">
        <f t="shared" si="3"/>
        <v>2</v>
      </c>
      <c r="C34" s="4">
        <f t="shared" si="4"/>
        <v>2</v>
      </c>
      <c r="D34" s="4">
        <f t="shared" si="5"/>
        <v>2.33333333333333</v>
      </c>
      <c r="E34" s="4">
        <f t="shared" si="6"/>
        <v>2.25</v>
      </c>
      <c r="F34" s="4">
        <f t="shared" si="7"/>
        <v>2.4</v>
      </c>
      <c r="G34" s="4">
        <f t="shared" si="8"/>
        <v>2.5</v>
      </c>
      <c r="H34" s="4">
        <f t="shared" si="9"/>
        <v>2.28571428571429</v>
      </c>
      <c r="I34" s="4">
        <f t="shared" si="10"/>
        <v>2.375</v>
      </c>
      <c r="J34" s="4">
        <f t="shared" si="11"/>
        <v>2.44444444444444</v>
      </c>
      <c r="K34" s="4">
        <f t="shared" si="12"/>
        <v>2.3</v>
      </c>
      <c r="L34" s="4">
        <f t="shared" si="13"/>
        <v>2.18181818181818</v>
      </c>
      <c r="M34" s="4">
        <f t="shared" si="14"/>
        <v>2.16666666666667</v>
      </c>
      <c r="N34" s="4">
        <f t="shared" si="15"/>
        <v>2.07692307692308</v>
      </c>
      <c r="O34" s="4">
        <f t="shared" si="16"/>
        <v>2</v>
      </c>
      <c r="P34" s="4">
        <f t="shared" si="17"/>
        <v>2</v>
      </c>
      <c r="Q34" s="4">
        <f t="shared" si="18"/>
        <v>2</v>
      </c>
      <c r="R34" s="4">
        <f t="shared" si="19"/>
        <v>2</v>
      </c>
      <c r="S34" s="4">
        <f t="shared" si="20"/>
        <v>2</v>
      </c>
      <c r="T34" s="4">
        <f t="shared" si="21"/>
        <v>1.94736842105263</v>
      </c>
      <c r="U34" s="4">
        <f t="shared" si="22"/>
        <v>1.95</v>
      </c>
      <c r="V34" s="4">
        <f t="shared" si="23"/>
        <v>1.95238095238095</v>
      </c>
      <c r="W34" s="4">
        <f>SUM(B23:W23)/22</f>
        <v>1.90909090909091</v>
      </c>
      <c r="X34" s="4">
        <f t="shared" si="24"/>
        <v>1.8695652173913</v>
      </c>
      <c r="Y34" s="4">
        <f t="shared" si="25"/>
        <v>1.83333333333333</v>
      </c>
      <c r="Z34" s="4">
        <f t="shared" si="26"/>
        <v>1.8</v>
      </c>
      <c r="AA34" s="4">
        <f t="shared" si="27"/>
        <v>1.80769230769231</v>
      </c>
      <c r="AB34" s="4">
        <f t="shared" si="28"/>
        <v>1.77777777777778</v>
      </c>
      <c r="AC34" s="4">
        <f t="shared" si="29"/>
        <v>1.75</v>
      </c>
      <c r="AD34" s="4">
        <f t="shared" si="30"/>
        <v>1.75862068965517</v>
      </c>
      <c r="AE34" s="4">
        <f t="shared" si="31"/>
        <v>1.76666666666667</v>
      </c>
      <c r="AF34" s="4">
        <f t="shared" si="32"/>
        <v>1.80645161290323</v>
      </c>
      <c r="AG34" s="4">
        <f t="shared" si="33"/>
        <v>1.8125</v>
      </c>
      <c r="AH34" s="4">
        <f t="shared" si="34"/>
        <v>1.81818181818182</v>
      </c>
      <c r="AI34" s="4">
        <f t="shared" si="35"/>
        <v>1.79411764705882</v>
      </c>
      <c r="AJ34" s="4">
        <f t="shared" si="36"/>
        <v>1.8</v>
      </c>
      <c r="AK34" s="4">
        <f t="shared" si="37"/>
        <v>1.80555555555556</v>
      </c>
      <c r="AL34" s="4">
        <f t="shared" si="38"/>
        <v>1.81081081081081</v>
      </c>
      <c r="AM34" s="4">
        <f t="shared" si="39"/>
        <v>1.78947368421053</v>
      </c>
      <c r="AN34" s="4">
        <f t="shared" si="40"/>
        <v>1.79487179487179</v>
      </c>
      <c r="AO34" s="4">
        <f t="shared" si="41"/>
        <v>1.775</v>
      </c>
      <c r="AP34" s="4">
        <f t="shared" si="42"/>
        <v>1.75609756097561</v>
      </c>
      <c r="AQ34" s="4">
        <f t="shared" si="43"/>
        <v>1.73809523809524</v>
      </c>
      <c r="AR34" s="4">
        <f t="shared" si="44"/>
        <v>1.74418604651163</v>
      </c>
      <c r="AS34" s="4">
        <f t="shared" si="45"/>
        <v>1.75</v>
      </c>
      <c r="AT34" s="4">
        <f t="shared" si="46"/>
        <v>0.25</v>
      </c>
    </row>
    <row r="35" spans="1:46">
      <c r="A35">
        <v>149</v>
      </c>
      <c r="B35" s="4">
        <f t="shared" si="3"/>
        <v>4</v>
      </c>
      <c r="C35" s="4">
        <f t="shared" si="4"/>
        <v>4.5</v>
      </c>
      <c r="D35" s="4">
        <f t="shared" si="5"/>
        <v>4.66666666666667</v>
      </c>
      <c r="E35" s="4">
        <f t="shared" si="6"/>
        <v>5</v>
      </c>
      <c r="F35" s="4">
        <f t="shared" si="7"/>
        <v>5.4</v>
      </c>
      <c r="G35" s="4">
        <f t="shared" si="8"/>
        <v>5.5</v>
      </c>
      <c r="H35" s="4">
        <f t="shared" si="9"/>
        <v>5.71428571428571</v>
      </c>
      <c r="I35" s="4">
        <f t="shared" si="10"/>
        <v>5.875</v>
      </c>
      <c r="J35" s="4">
        <f t="shared" si="11"/>
        <v>6</v>
      </c>
      <c r="K35" s="4">
        <f t="shared" si="12"/>
        <v>6</v>
      </c>
      <c r="L35" s="4">
        <f t="shared" si="13"/>
        <v>6.09090909090909</v>
      </c>
      <c r="M35" s="4">
        <f t="shared" si="14"/>
        <v>6</v>
      </c>
      <c r="N35" s="4">
        <f t="shared" si="15"/>
        <v>6.07692307692308</v>
      </c>
      <c r="O35" s="4">
        <f t="shared" si="16"/>
        <v>6.14285714285714</v>
      </c>
      <c r="P35" s="4">
        <f t="shared" si="17"/>
        <v>6.2</v>
      </c>
      <c r="Q35" s="4">
        <f t="shared" si="18"/>
        <v>6.25</v>
      </c>
      <c r="R35" s="4">
        <f t="shared" si="19"/>
        <v>6.23529411764706</v>
      </c>
      <c r="S35" s="4">
        <f t="shared" si="20"/>
        <v>6.22222222222222</v>
      </c>
      <c r="T35" s="4">
        <f t="shared" si="21"/>
        <v>6.26315789473684</v>
      </c>
      <c r="U35" s="4">
        <f t="shared" si="22"/>
        <v>6.3</v>
      </c>
      <c r="V35" s="4">
        <f t="shared" si="23"/>
        <v>6.33333333333333</v>
      </c>
      <c r="W35" s="4">
        <f t="shared" ref="W32:W38" si="47">SUM(B24:W24)/22</f>
        <v>6.40909090909091</v>
      </c>
      <c r="X35" s="4">
        <f t="shared" si="24"/>
        <v>6.47826086956522</v>
      </c>
      <c r="Y35" s="4">
        <f t="shared" si="25"/>
        <v>6.5</v>
      </c>
      <c r="Z35" s="4">
        <f t="shared" si="26"/>
        <v>6.44</v>
      </c>
      <c r="AA35" s="4">
        <f t="shared" si="27"/>
        <v>6.42307692307692</v>
      </c>
      <c r="AB35" s="4">
        <f t="shared" si="28"/>
        <v>6.37037037037037</v>
      </c>
      <c r="AC35" s="4">
        <f t="shared" si="29"/>
        <v>6.32142857142857</v>
      </c>
      <c r="AD35" s="4">
        <f t="shared" si="30"/>
        <v>6.27586206896552</v>
      </c>
      <c r="AE35" s="4">
        <f t="shared" si="31"/>
        <v>6.26666666666667</v>
      </c>
      <c r="AF35" s="4">
        <f t="shared" si="32"/>
        <v>6.2258064516129</v>
      </c>
      <c r="AG35" s="4">
        <f t="shared" si="33"/>
        <v>6.1875</v>
      </c>
      <c r="AH35" s="4">
        <f t="shared" si="34"/>
        <v>6.15151515151515</v>
      </c>
      <c r="AI35" s="4">
        <f t="shared" si="35"/>
        <v>6.11764705882353</v>
      </c>
      <c r="AJ35" s="4">
        <f t="shared" si="36"/>
        <v>6.11428571428571</v>
      </c>
      <c r="AK35" s="4">
        <f t="shared" si="37"/>
        <v>6.11111111111111</v>
      </c>
      <c r="AL35" s="4">
        <f t="shared" si="38"/>
        <v>6.10810810810811</v>
      </c>
      <c r="AM35" s="4">
        <f t="shared" si="39"/>
        <v>6.07894736842105</v>
      </c>
      <c r="AN35" s="4">
        <f t="shared" si="40"/>
        <v>6.02564102564103</v>
      </c>
      <c r="AO35" s="4">
        <f t="shared" si="41"/>
        <v>6.025</v>
      </c>
      <c r="AP35" s="4">
        <f t="shared" si="42"/>
        <v>6</v>
      </c>
      <c r="AQ35" s="4">
        <f t="shared" si="43"/>
        <v>6.02380952380952</v>
      </c>
      <c r="AR35" s="4">
        <f t="shared" si="44"/>
        <v>6.04651162790698</v>
      </c>
      <c r="AS35" s="4">
        <f t="shared" si="45"/>
        <v>6.06818181818182</v>
      </c>
      <c r="AT35" s="4">
        <f t="shared" si="46"/>
        <v>-2.06818181818182</v>
      </c>
    </row>
    <row r="36" spans="1:46">
      <c r="A36">
        <v>150</v>
      </c>
      <c r="B36" s="4">
        <f t="shared" si="3"/>
        <v>6</v>
      </c>
      <c r="C36" s="4">
        <f t="shared" si="4"/>
        <v>6</v>
      </c>
      <c r="D36" s="4">
        <f t="shared" si="5"/>
        <v>6.33333333333333</v>
      </c>
      <c r="E36" s="4">
        <f t="shared" si="6"/>
        <v>6</v>
      </c>
      <c r="F36" s="4">
        <f t="shared" si="7"/>
        <v>5.8</v>
      </c>
      <c r="G36" s="4">
        <f t="shared" si="8"/>
        <v>5.66666666666667</v>
      </c>
      <c r="H36" s="4">
        <f t="shared" si="9"/>
        <v>5.42857142857143</v>
      </c>
      <c r="I36" s="4">
        <f t="shared" si="10"/>
        <v>5.375</v>
      </c>
      <c r="J36" s="4">
        <f t="shared" si="11"/>
        <v>5.33333333333333</v>
      </c>
      <c r="K36" s="4">
        <f t="shared" si="12"/>
        <v>5.5</v>
      </c>
      <c r="L36" s="4">
        <f t="shared" si="13"/>
        <v>5.36363636363636</v>
      </c>
      <c r="M36" s="4">
        <f t="shared" si="14"/>
        <v>5.5</v>
      </c>
      <c r="N36" s="4">
        <f t="shared" si="15"/>
        <v>5.46153846153846</v>
      </c>
      <c r="O36" s="4">
        <f t="shared" si="16"/>
        <v>5.5</v>
      </c>
      <c r="P36" s="4">
        <f t="shared" si="17"/>
        <v>5.53333333333333</v>
      </c>
      <c r="Q36" s="4">
        <f t="shared" si="18"/>
        <v>5.5625</v>
      </c>
      <c r="R36" s="4">
        <f t="shared" si="19"/>
        <v>5.47058823529412</v>
      </c>
      <c r="S36" s="4">
        <f t="shared" si="20"/>
        <v>5.55555555555556</v>
      </c>
      <c r="T36" s="4">
        <f t="shared" si="21"/>
        <v>5.52631578947368</v>
      </c>
      <c r="U36" s="4">
        <f t="shared" si="22"/>
        <v>5.55</v>
      </c>
      <c r="V36" s="4">
        <f t="shared" si="23"/>
        <v>5.52380952380952</v>
      </c>
      <c r="W36" s="4">
        <f t="shared" si="47"/>
        <v>5.5</v>
      </c>
      <c r="X36" s="4">
        <f t="shared" si="24"/>
        <v>5.43478260869565</v>
      </c>
      <c r="Y36" s="4">
        <f t="shared" si="25"/>
        <v>5.45833333333333</v>
      </c>
      <c r="Z36" s="4">
        <f t="shared" si="26"/>
        <v>5.48</v>
      </c>
      <c r="AA36" s="4">
        <f t="shared" si="27"/>
        <v>5.53846153846154</v>
      </c>
      <c r="AB36" s="4">
        <f t="shared" si="28"/>
        <v>5.55555555555556</v>
      </c>
      <c r="AC36" s="4">
        <f t="shared" si="29"/>
        <v>5.60714285714286</v>
      </c>
      <c r="AD36" s="4">
        <f t="shared" si="30"/>
        <v>5.62068965517241</v>
      </c>
      <c r="AE36" s="4">
        <f t="shared" si="31"/>
        <v>5.6</v>
      </c>
      <c r="AF36" s="4">
        <f t="shared" si="32"/>
        <v>5.64516129032258</v>
      </c>
      <c r="AG36" s="4">
        <f t="shared" si="33"/>
        <v>5.6875</v>
      </c>
      <c r="AH36" s="4">
        <f t="shared" si="34"/>
        <v>5.72727272727273</v>
      </c>
      <c r="AI36" s="4">
        <f t="shared" si="35"/>
        <v>5.76470588235294</v>
      </c>
      <c r="AJ36" s="4">
        <f t="shared" si="36"/>
        <v>5.74285714285714</v>
      </c>
      <c r="AK36" s="4">
        <f t="shared" si="37"/>
        <v>5.77777777777778</v>
      </c>
      <c r="AL36" s="4">
        <f t="shared" si="38"/>
        <v>5.81081081081081</v>
      </c>
      <c r="AM36" s="4">
        <f t="shared" si="39"/>
        <v>5.84210526315789</v>
      </c>
      <c r="AN36" s="4">
        <f t="shared" si="40"/>
        <v>5.87179487179487</v>
      </c>
      <c r="AO36" s="4">
        <f t="shared" si="41"/>
        <v>5.85</v>
      </c>
      <c r="AP36" s="4">
        <f t="shared" si="42"/>
        <v>5.85365853658537</v>
      </c>
      <c r="AQ36" s="4">
        <f t="shared" si="43"/>
        <v>5.83333333333333</v>
      </c>
      <c r="AR36" s="4">
        <f t="shared" si="44"/>
        <v>5.7906976744186</v>
      </c>
      <c r="AS36" s="4">
        <f t="shared" si="45"/>
        <v>5.79545454545455</v>
      </c>
      <c r="AT36" s="4">
        <f t="shared" si="46"/>
        <v>0.204545454545454</v>
      </c>
    </row>
    <row r="37" spans="1:46">
      <c r="A37">
        <v>151</v>
      </c>
      <c r="B37" s="4">
        <f t="shared" si="3"/>
        <v>5</v>
      </c>
      <c r="C37" s="4">
        <f t="shared" si="4"/>
        <v>4.5</v>
      </c>
      <c r="D37" s="4">
        <f t="shared" si="5"/>
        <v>4.33333333333333</v>
      </c>
      <c r="E37" s="4">
        <f t="shared" si="6"/>
        <v>4.25</v>
      </c>
      <c r="F37" s="4">
        <f t="shared" si="7"/>
        <v>4.2</v>
      </c>
      <c r="G37" s="4">
        <f t="shared" si="8"/>
        <v>4.16666666666667</v>
      </c>
      <c r="H37" s="4">
        <f t="shared" si="9"/>
        <v>4.28571428571429</v>
      </c>
      <c r="I37" s="4">
        <f t="shared" si="10"/>
        <v>4.25</v>
      </c>
      <c r="J37" s="4">
        <f t="shared" si="11"/>
        <v>4.44444444444444</v>
      </c>
      <c r="K37" s="4">
        <f t="shared" si="12"/>
        <v>4.4</v>
      </c>
      <c r="L37" s="4">
        <f t="shared" si="13"/>
        <v>4.45454545454545</v>
      </c>
      <c r="M37" s="4">
        <f t="shared" si="14"/>
        <v>4.41666666666667</v>
      </c>
      <c r="N37" s="4">
        <f t="shared" si="15"/>
        <v>4.38461538461539</v>
      </c>
      <c r="O37" s="4">
        <f t="shared" si="16"/>
        <v>4.42857142857143</v>
      </c>
      <c r="P37" s="4">
        <f t="shared" si="17"/>
        <v>4.4</v>
      </c>
      <c r="Q37" s="4">
        <f t="shared" si="18"/>
        <v>4.375</v>
      </c>
      <c r="R37" s="4">
        <f t="shared" si="19"/>
        <v>4.41176470588235</v>
      </c>
      <c r="S37" s="4">
        <f t="shared" si="20"/>
        <v>4.38888888888889</v>
      </c>
      <c r="T37" s="4">
        <f t="shared" si="21"/>
        <v>4.36842105263158</v>
      </c>
      <c r="U37" s="4">
        <f t="shared" si="22"/>
        <v>4.4</v>
      </c>
      <c r="V37" s="4">
        <f t="shared" si="23"/>
        <v>4.33333333333333</v>
      </c>
      <c r="W37" s="4">
        <f t="shared" si="47"/>
        <v>4.27272727272727</v>
      </c>
      <c r="X37" s="4">
        <f t="shared" si="24"/>
        <v>4.34782608695652</v>
      </c>
      <c r="Y37" s="4">
        <f t="shared" si="25"/>
        <v>4.375</v>
      </c>
      <c r="Z37" s="4">
        <f t="shared" si="26"/>
        <v>4.36</v>
      </c>
      <c r="AA37" s="4">
        <f t="shared" si="27"/>
        <v>4.38461538461539</v>
      </c>
      <c r="AB37" s="4">
        <f t="shared" si="28"/>
        <v>4.33333333333333</v>
      </c>
      <c r="AC37" s="4">
        <f t="shared" si="29"/>
        <v>4.28571428571429</v>
      </c>
      <c r="AD37" s="4">
        <f t="shared" si="30"/>
        <v>4.27586206896552</v>
      </c>
      <c r="AE37" s="4">
        <f t="shared" si="31"/>
        <v>4.26666666666667</v>
      </c>
      <c r="AF37" s="4">
        <f t="shared" si="32"/>
        <v>4.25806451612903</v>
      </c>
      <c r="AG37" s="4">
        <f t="shared" si="33"/>
        <v>4.25</v>
      </c>
      <c r="AH37" s="4">
        <f t="shared" si="34"/>
        <v>4.24242424242424</v>
      </c>
      <c r="AI37" s="4">
        <f t="shared" si="35"/>
        <v>4.23529411764706</v>
      </c>
      <c r="AJ37" s="4">
        <f t="shared" si="36"/>
        <v>4.2</v>
      </c>
      <c r="AK37" s="4">
        <f t="shared" si="37"/>
        <v>4.19444444444444</v>
      </c>
      <c r="AL37" s="4">
        <f t="shared" si="38"/>
        <v>4.18918918918919</v>
      </c>
      <c r="AM37" s="4">
        <f t="shared" si="39"/>
        <v>4.15789473684211</v>
      </c>
      <c r="AN37" s="4">
        <f t="shared" si="40"/>
        <v>4.12820512820513</v>
      </c>
      <c r="AO37" s="4">
        <f t="shared" si="41"/>
        <v>4.1</v>
      </c>
      <c r="AP37" s="4">
        <f t="shared" si="42"/>
        <v>4.07317073170732</v>
      </c>
      <c r="AQ37" s="4">
        <f t="shared" si="43"/>
        <v>4.04761904761905</v>
      </c>
      <c r="AR37" s="4">
        <f t="shared" si="44"/>
        <v>4.02325581395349</v>
      </c>
      <c r="AS37" s="4">
        <f t="shared" si="45"/>
        <v>4</v>
      </c>
      <c r="AT37" s="4">
        <f t="shared" si="46"/>
        <v>1</v>
      </c>
    </row>
    <row r="38" spans="1:46">
      <c r="A38">
        <v>152</v>
      </c>
      <c r="B38" s="4">
        <f t="shared" si="3"/>
        <v>7</v>
      </c>
      <c r="C38" s="4">
        <f t="shared" si="4"/>
        <v>7</v>
      </c>
      <c r="D38" s="4">
        <f t="shared" si="5"/>
        <v>6.66666666666667</v>
      </c>
      <c r="E38" s="4">
        <f t="shared" si="6"/>
        <v>6.75</v>
      </c>
      <c r="F38" s="4">
        <f t="shared" si="7"/>
        <v>6.6</v>
      </c>
      <c r="G38" s="4">
        <f t="shared" si="8"/>
        <v>6.66666666666667</v>
      </c>
      <c r="H38" s="4">
        <f t="shared" si="9"/>
        <v>6.57142857142857</v>
      </c>
      <c r="I38" s="4">
        <f t="shared" si="10"/>
        <v>6.5</v>
      </c>
      <c r="J38" s="4">
        <f t="shared" si="11"/>
        <v>6.22222222222222</v>
      </c>
      <c r="K38" s="4">
        <f t="shared" si="12"/>
        <v>6.1</v>
      </c>
      <c r="L38" s="4">
        <f t="shared" si="13"/>
        <v>6.09090909090909</v>
      </c>
      <c r="M38" s="4">
        <f t="shared" si="14"/>
        <v>6.08333333333333</v>
      </c>
      <c r="N38" s="4">
        <f t="shared" si="15"/>
        <v>6.07692307692308</v>
      </c>
      <c r="O38" s="4">
        <f t="shared" si="16"/>
        <v>5.92857142857143</v>
      </c>
      <c r="P38" s="4">
        <f t="shared" si="17"/>
        <v>5.86666666666667</v>
      </c>
      <c r="Q38" s="4">
        <f t="shared" si="18"/>
        <v>5.8125</v>
      </c>
      <c r="R38" s="4">
        <f t="shared" si="19"/>
        <v>5.88235294117647</v>
      </c>
      <c r="S38" s="4">
        <f t="shared" si="20"/>
        <v>5.83333333333333</v>
      </c>
      <c r="T38" s="4">
        <f t="shared" si="21"/>
        <v>5.84210526315789</v>
      </c>
      <c r="U38" s="4">
        <f t="shared" si="22"/>
        <v>5.75</v>
      </c>
      <c r="V38" s="4">
        <f t="shared" si="23"/>
        <v>5.76190476190476</v>
      </c>
      <c r="W38" s="4">
        <f t="shared" si="47"/>
        <v>5.77272727272727</v>
      </c>
      <c r="X38" s="4">
        <f t="shared" si="24"/>
        <v>5.73913043478261</v>
      </c>
      <c r="Y38" s="4">
        <f t="shared" si="25"/>
        <v>5.66666666666667</v>
      </c>
      <c r="Z38" s="4">
        <f t="shared" si="26"/>
        <v>5.72</v>
      </c>
      <c r="AA38" s="4">
        <f t="shared" si="27"/>
        <v>5.65384615384615</v>
      </c>
      <c r="AB38" s="4">
        <f t="shared" si="28"/>
        <v>5.7037037037037</v>
      </c>
      <c r="AC38" s="4">
        <f t="shared" si="29"/>
        <v>5.71428571428571</v>
      </c>
      <c r="AD38" s="4">
        <f t="shared" si="30"/>
        <v>5.75862068965517</v>
      </c>
      <c r="AE38" s="4">
        <f t="shared" si="31"/>
        <v>5.8</v>
      </c>
      <c r="AF38" s="4">
        <f t="shared" si="32"/>
        <v>5.80645161290323</v>
      </c>
      <c r="AG38" s="4">
        <f t="shared" si="33"/>
        <v>5.8125</v>
      </c>
      <c r="AH38" s="4">
        <f t="shared" si="34"/>
        <v>5.81818181818182</v>
      </c>
      <c r="AI38" s="4">
        <f t="shared" si="35"/>
        <v>5.82352941176471</v>
      </c>
      <c r="AJ38" s="4">
        <f t="shared" si="36"/>
        <v>5.85714285714286</v>
      </c>
      <c r="AK38" s="4">
        <f t="shared" si="37"/>
        <v>5.83333333333333</v>
      </c>
      <c r="AL38" s="4">
        <f t="shared" si="38"/>
        <v>5.81081081081081</v>
      </c>
      <c r="AM38" s="4">
        <f t="shared" si="39"/>
        <v>5.81578947368421</v>
      </c>
      <c r="AN38" s="4">
        <f t="shared" si="40"/>
        <v>5.79487179487179</v>
      </c>
      <c r="AO38" s="4">
        <f t="shared" si="41"/>
        <v>5.825</v>
      </c>
      <c r="AP38" s="4">
        <f t="shared" si="42"/>
        <v>5.78048780487805</v>
      </c>
      <c r="AQ38" s="4">
        <f t="shared" si="43"/>
        <v>5.73809523809524</v>
      </c>
      <c r="AR38" s="4">
        <f t="shared" si="44"/>
        <v>5.72093023255814</v>
      </c>
      <c r="AS38" s="4">
        <f t="shared" si="45"/>
        <v>5.68181818181818</v>
      </c>
      <c r="AT38" s="4">
        <f t="shared" si="46"/>
        <v>1.31818181818182</v>
      </c>
    </row>
  </sheetData>
  <pageMargins left="0.7" right="0.7" top="0.75" bottom="0.75" header="0.3" footer="0.3"/>
  <pageSetup paperSize="9" orientation="portrait"/>
  <headerFooter/>
  <ignoredErrors>
    <ignoredError sqref="C31:L38 M31:M39 N31:AS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2026-02-03T05:20:01Z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