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1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<sst xmlns="http://schemas.openxmlformats.org/spreadsheetml/2006/main" count="299" uniqueCount="180">
  <si>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</si>
  <si>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</si>
  <si>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</si>
  <si>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</si>
  <si>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</si>
  <si>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</si>
  <si>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</si>
  <si>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</si>
  <si>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</si>
  <si>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</si>
  <si>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</si>
  <si>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</si>
  <si>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</si>
  <si>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</si>
  <si>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</si>
  <si>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</si>
  <si>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</si>
  <si>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</si>
  <si>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</si>
  <si>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</si>
  <si>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</si>
  <si>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</si>
  <si>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</si>
  <si>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</si>
  <si>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</si>
  <si>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</si>
  <si>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</si>
  <si>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</si>
  <si>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</si>
  <si>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</si>
  <si>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</si>
  <si>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</si>
  <si>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</si>
  <si>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</si>
  <si>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</si>
  <si>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</si>
  <si>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</si>
  <si>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</si>
  <si>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</si>
  <si>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</si>
  <si>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</si>
  <si>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</si>
  <si>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</si>
  <si>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</si>
  <si>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</si>
  <si>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</si>
  <si>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</si>
  <si>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</si>
  <si>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</si>
  <si>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</si>
  <si>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</si>
  <si>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</si>
  <si>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</si>
  <si>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</si>
  <si>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</si>
  <si>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</si>
  <si>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</si>
  <si>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</si>
  <si>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</si>
  <si>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</si>
  <si>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</si>
  <si>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</si>
  <si>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</si>
  <si>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</si>
  <si>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</si>
  <si>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</si>
  <si>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</si>
  <si>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</si>
  <si>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</si>
  <si>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</si>
  <si>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</si>
  <si>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</si>
  <si>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</si>
  <si>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</si>
  <si>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</si>
  <si>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</si>
  <si>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</si>
  <si>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</si>
  <si>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</si>
  <si>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</si>
  <si>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</si>
  <si>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</si>
  <si>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</si>
  <si>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</si>
  <si>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</si>
  <si>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星空</t>
  </si>
  <si>
    <t>1。</t>
  </si>
  <si>
    <t>查查（养神）</t>
  </si>
  <si>
    <t>迅（养神）</t>
  </si>
  <si>
    <t>小黑</t>
  </si>
  <si>
    <t>12345。</t>
  </si>
  <si>
    <t>冰男（人海）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</si>
  <si>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</si>
  <si>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</si>
  <si>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</si>
  <si>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</si>
  <si>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</si>
  <si>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</si>
  <si>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</si>
  <si>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</si>
  <si>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</si>
  <si>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</si>
  <si>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</si>
  <si>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</si>
  <si>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</si>
  <si>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</si>
  <si>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</si>
  <si>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新蜂幻境</t>
  </si>
  <si>
    <t>*托</t>
  </si>
  <si>
    <t>[永恒]</t>
  </si>
  <si>
    <t>白夜</t>
  </si>
  <si>
    <t>战争艺术</t>
  </si>
  <si>
    <t>秋雨</t>
  </si>
  <si>
    <t>大良91档钟</t>
  </si>
  <si>
    <t>白处尊（人海）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</si>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</sst>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Q40"/>
  <sheetViews>
    <sheetView zoomScale="115" zoomScaleNormal="115" workbookViewId="0">
      <selection activeCell="CT19" sqref="CT19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3" width="17.2833333333333" hidden="1" customWidth="1"/>
    <col min="84" max="87" width="17.2833333333333" customWidth="1"/>
    <col min="88" max="88" width="14.5416666666667" customWidth="1"/>
    <col min="89" max="89" width="15.1833333333333" hidden="1" customWidth="1"/>
    <col min="90" max="90" width="13.2583333333333" hidden="1" customWidth="1"/>
    <col min="91" max="91" width="11.625" hidden="1" customWidth="1"/>
    <col min="92" max="92" width="12.6083333333333" hidden="1" customWidth="1"/>
    <col min="93" max="93" width="15.0166666666667" hidden="1" customWidth="1"/>
    <col min="94" max="94" width="12.625"/>
    <col min="95" max="95" width="11.4083333333333" hidden="1" customWidth="1"/>
  </cols>
  <sheetData>
    <row r="1" spans="1:9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</v>
      </c>
      <c r="CH1" t="s">
        <v>46</v>
      </c>
      <c r="CI1" t="s">
        <v>47</v>
      </c>
      <c r="CJ1" t="s">
        <v>48</v>
      </c>
      <c r="CK1" t="s">
        <v>49</v>
      </c>
      <c r="CL1" t="s">
        <v>50</v>
      </c>
      <c r="CM1" t="s">
        <v>51</v>
      </c>
      <c r="CN1" t="s">
        <v>52</v>
      </c>
      <c r="CO1" t="s">
        <v>53</v>
      </c>
      <c r="CP1" t="s">
        <v>54</v>
      </c>
      <c r="CQ1" t="s">
        <v>55</v>
      </c>
    </row>
    <row r="2" s="8" customFormat="1" spans="1:95">
      <c r="A2" s="7" t="s">
        <v>56</v>
      </c>
      <c r="B2" s="7" t="s">
        <v>57</v>
      </c>
      <c r="C2" s="7" t="s">
        <v>58</v>
      </c>
      <c r="D2" s="7">
        <v>4105.48</v>
      </c>
      <c r="E2" s="7">
        <f t="shared" ref="E2:E13" si="0">F2-D2</f>
        <v>181.21</v>
      </c>
      <c r="F2" s="7">
        <v>4286.69</v>
      </c>
      <c r="G2" s="7">
        <f t="shared" ref="G2:G13" si="1">H2-F2</f>
        <v>139.09</v>
      </c>
      <c r="H2" s="7">
        <v>4425.78</v>
      </c>
      <c r="I2" s="7">
        <f t="shared" ref="I2:I13" si="2">J2-H2</f>
        <v>54.8800000000001</v>
      </c>
      <c r="J2" s="7">
        <v>4480.66</v>
      </c>
      <c r="K2" s="7">
        <f t="shared" ref="K2:K13" si="3">L2-J2</f>
        <v>104.900000000001</v>
      </c>
      <c r="L2" s="7">
        <v>4585.56</v>
      </c>
      <c r="M2" s="7">
        <f t="shared" ref="M2:M13" si="4">N2-L2</f>
        <v>70.29</v>
      </c>
      <c r="N2" s="7">
        <v>4655.85</v>
      </c>
      <c r="O2" s="7">
        <f t="shared" ref="O2:O13" si="5">P2-N2</f>
        <v>49.1700000000001</v>
      </c>
      <c r="P2" s="7">
        <v>4705.02</v>
      </c>
      <c r="Q2" s="7">
        <f t="shared" ref="Q2:Q13" si="6">R2-P2</f>
        <v>38.2199999999993</v>
      </c>
      <c r="R2" s="7">
        <v>4743.24</v>
      </c>
      <c r="S2" s="7">
        <f t="shared" ref="S2:S13" si="7">T2-R2</f>
        <v>45.6199999999999</v>
      </c>
      <c r="T2" s="7">
        <v>4788.86</v>
      </c>
      <c r="U2" s="7">
        <f t="shared" ref="U2:U13" si="8">V2-T2</f>
        <v>27.5900000000001</v>
      </c>
      <c r="V2" s="10">
        <v>4816.45</v>
      </c>
      <c r="W2" s="7">
        <f t="shared" ref="W2:W13" si="9">X2-V2</f>
        <v>158.22</v>
      </c>
      <c r="X2" s="10">
        <v>4974.67</v>
      </c>
      <c r="Y2" s="7">
        <f t="shared" ref="Y2:Y13" si="10">Z2-X2</f>
        <v>32.8999999999996</v>
      </c>
      <c r="Z2" s="7">
        <v>5007.57</v>
      </c>
      <c r="AA2" s="7">
        <f t="shared" ref="AA2:AA13" si="11">AB2-Z2</f>
        <v>19.5700000000006</v>
      </c>
      <c r="AB2" s="7">
        <v>5027.14</v>
      </c>
      <c r="AC2" s="7">
        <f t="shared" ref="AC2:AC13" si="12">AD2-AB2</f>
        <v>77.6899999999996</v>
      </c>
      <c r="AD2" s="7">
        <v>5104.83</v>
      </c>
      <c r="AE2" s="15">
        <f t="shared" ref="AE2:AE13" si="13">AF2-AD2</f>
        <v>27.4499999999998</v>
      </c>
      <c r="AF2" s="15">
        <v>5132.28</v>
      </c>
      <c r="AG2" s="15">
        <f t="shared" ref="AG2:AG13" si="14">AH2-AF2</f>
        <v>129.35</v>
      </c>
      <c r="AH2" s="15">
        <v>5261.63</v>
      </c>
      <c r="AI2" s="15">
        <f t="shared" ref="AI2:AI13" si="15">AJ2-AH2</f>
        <v>94.04</v>
      </c>
      <c r="AJ2" s="15">
        <v>5355.67</v>
      </c>
      <c r="AK2" s="15">
        <f t="shared" ref="AK2:AK13" si="16">AL2-AJ2</f>
        <v>102.42</v>
      </c>
      <c r="AL2" s="15">
        <v>5458.09</v>
      </c>
      <c r="AM2" s="15">
        <f t="shared" ref="AM2:AM13" si="17">AN2-AL2</f>
        <v>57.9499999999998</v>
      </c>
      <c r="AN2" s="15">
        <v>5516.04</v>
      </c>
      <c r="AO2" s="15">
        <f t="shared" ref="AO2:AO13" si="18">AP2-AN2</f>
        <v>109.75</v>
      </c>
      <c r="AP2" s="15">
        <v>5625.79</v>
      </c>
      <c r="AQ2" s="15">
        <f t="shared" ref="AQ2:AQ13" si="19">AR2-AP2</f>
        <v>115.03</v>
      </c>
      <c r="AR2" s="15">
        <v>5740.82</v>
      </c>
      <c r="AS2" s="15">
        <f t="shared" ref="AS2:AS28" si="20">AT2-AR2</f>
        <v>75.2800000000007</v>
      </c>
      <c r="AT2" s="15">
        <v>5816.1</v>
      </c>
      <c r="AU2" s="20">
        <f t="shared" ref="AU2:AU28" si="21">AV2-AT2</f>
        <v>77.1399999999994</v>
      </c>
      <c r="AV2" s="20">
        <v>5893.24</v>
      </c>
      <c r="AW2" s="26">
        <f t="shared" ref="AW2:AW28" si="22">AX2-AV2</f>
        <v>91.6100000000006</v>
      </c>
      <c r="AX2" s="26">
        <v>5984.85</v>
      </c>
      <c r="AY2" s="26">
        <f t="shared" ref="AY2:AY28" si="23">AZ2-AX2</f>
        <v>201.849999999999</v>
      </c>
      <c r="AZ2" s="26">
        <v>6186.7</v>
      </c>
      <c r="BA2" s="26">
        <f t="shared" ref="BA2:BA28" si="24">BB2-AZ2</f>
        <v>31.5299999999997</v>
      </c>
      <c r="BB2" s="26">
        <v>6218.23</v>
      </c>
      <c r="BC2" s="26">
        <f t="shared" ref="BC2:BC28" si="25">BD2-BB2</f>
        <v>2.65000000000055</v>
      </c>
      <c r="BD2" s="26">
        <v>6220.88</v>
      </c>
      <c r="BE2" s="20">
        <f t="shared" ref="BE2:BE28" si="26">BF2-BD2</f>
        <v>127.07</v>
      </c>
      <c r="BF2" s="26">
        <v>6347.95</v>
      </c>
      <c r="BG2" s="26">
        <f t="shared" ref="BG2:BG28" si="27">BH2-BF2</f>
        <v>130.78</v>
      </c>
      <c r="BH2" s="26">
        <v>6478.73</v>
      </c>
      <c r="BI2" s="26">
        <f t="shared" ref="BI2:BI28" si="28">BJ2-BH2</f>
        <v>12.3600000000006</v>
      </c>
      <c r="BJ2" s="26">
        <v>6491.09</v>
      </c>
      <c r="BK2" s="26">
        <f t="shared" ref="BK2:BK28" si="29">BL2-BJ2</f>
        <v>50.7299999999996</v>
      </c>
      <c r="BL2" s="26">
        <v>6541.82</v>
      </c>
      <c r="BM2" s="26">
        <f t="shared" ref="BM2:BM28" si="30">BN2-BL2</f>
        <v>205.92</v>
      </c>
      <c r="BN2" s="26">
        <v>6747.74</v>
      </c>
      <c r="BO2" s="26">
        <f t="shared" ref="BO2:BO28" si="31">BP2-BN2</f>
        <v>42.6900000000005</v>
      </c>
      <c r="BP2" s="26">
        <v>6790.43</v>
      </c>
      <c r="BQ2" s="26">
        <f t="shared" ref="BQ2:BQ28" si="32">BR2-BP2</f>
        <v>61.9099999999999</v>
      </c>
      <c r="BR2" s="26">
        <v>6852.34</v>
      </c>
      <c r="BS2" s="26">
        <f t="shared" ref="BS2:BS28" si="33">BT2-BR2</f>
        <v>21.1099999999997</v>
      </c>
      <c r="BT2" s="26">
        <v>6873.45</v>
      </c>
      <c r="BU2" s="26">
        <f t="shared" ref="BU2:BU28" si="34">BV2-BT2</f>
        <v>59.8800000000001</v>
      </c>
      <c r="BV2" s="26">
        <v>6933.33</v>
      </c>
      <c r="BW2" s="26">
        <f t="shared" ref="BW2:BW28" si="35">BX2-BV2</f>
        <v>77.5200000000004</v>
      </c>
      <c r="BX2" s="26">
        <v>7010.85</v>
      </c>
      <c r="BY2" s="26">
        <f t="shared" ref="BY2:BY28" si="36">BZ2-BX2</f>
        <v>66.8599999999997</v>
      </c>
      <c r="BZ2" s="26">
        <v>7077.71</v>
      </c>
      <c r="CA2" s="26">
        <f t="shared" ref="CA2:CA28" si="37">CB2-BZ2</f>
        <v>224.3</v>
      </c>
      <c r="CB2" s="26">
        <v>7302.01</v>
      </c>
      <c r="CC2" s="26">
        <f t="shared" ref="CC2:CC28" si="38">CD2-CB2</f>
        <v>113.7</v>
      </c>
      <c r="CD2" s="26">
        <v>7415.71</v>
      </c>
      <c r="CE2" s="26">
        <f t="shared" ref="CE2:CE28" si="39">CF2-CD2</f>
        <v>82</v>
      </c>
      <c r="CF2" s="26">
        <v>7497.71</v>
      </c>
      <c r="CG2" s="26">
        <f t="shared" ref="CG2:CG28" si="40">CH2-CF2</f>
        <v>140.01</v>
      </c>
      <c r="CH2" s="26">
        <v>7637.72</v>
      </c>
      <c r="CI2" s="20" t="s">
        <v>59</v>
      </c>
      <c r="CJ2" s="15">
        <v>1928.27</v>
      </c>
      <c r="CK2" s="15" t="s">
        <v>60</v>
      </c>
      <c r="CL2" s="15">
        <v>1267.77</v>
      </c>
      <c r="CM2" s="7">
        <v>400</v>
      </c>
      <c r="CN2" s="7">
        <v>1.2</v>
      </c>
      <c r="CO2" s="7">
        <v>186759</v>
      </c>
      <c r="CP2" s="15">
        <f t="shared" ref="CP2:CP28" si="41">2.583/(CH2/CJ2)</f>
        <v>0.65212149830054</v>
      </c>
      <c r="CQ2" s="15">
        <f t="shared" ref="CQ2:CQ28" si="42">BP2-D2</f>
        <v>2684.95</v>
      </c>
    </row>
    <row r="3" spans="1:95">
      <c r="A3" s="7" t="s">
        <v>61</v>
      </c>
      <c r="B3" s="7" t="s">
        <v>62</v>
      </c>
      <c r="C3" s="7" t="s">
        <v>58</v>
      </c>
      <c r="D3" s="7">
        <v>2714.1</v>
      </c>
      <c r="E3" s="7">
        <f t="shared" si="0"/>
        <v>123.29</v>
      </c>
      <c r="F3" s="7">
        <v>2837.39</v>
      </c>
      <c r="G3" s="7">
        <f t="shared" si="1"/>
        <v>95.8499999999999</v>
      </c>
      <c r="H3" s="7">
        <v>2933.24</v>
      </c>
      <c r="I3" s="7">
        <f t="shared" si="2"/>
        <v>92.46</v>
      </c>
      <c r="J3" s="7">
        <v>3025.7</v>
      </c>
      <c r="K3" s="7">
        <f t="shared" si="3"/>
        <v>90.4100000000003</v>
      </c>
      <c r="L3" s="7">
        <v>3116.11</v>
      </c>
      <c r="M3" s="7">
        <f t="shared" si="4"/>
        <v>103.54</v>
      </c>
      <c r="N3" s="7">
        <v>3219.65</v>
      </c>
      <c r="O3" s="7">
        <f t="shared" si="5"/>
        <v>75.6599999999999</v>
      </c>
      <c r="P3" s="7">
        <v>3295.31</v>
      </c>
      <c r="Q3" s="7">
        <f t="shared" si="6"/>
        <v>88.98</v>
      </c>
      <c r="R3" s="7">
        <v>3384.29</v>
      </c>
      <c r="S3" s="7">
        <f t="shared" si="7"/>
        <v>102.46</v>
      </c>
      <c r="T3" s="7">
        <v>3486.75</v>
      </c>
      <c r="U3" s="7">
        <f t="shared" si="8"/>
        <v>69.23</v>
      </c>
      <c r="V3" s="10">
        <v>3555.98</v>
      </c>
      <c r="W3" s="7">
        <f t="shared" si="9"/>
        <v>133.46</v>
      </c>
      <c r="X3" s="10">
        <v>3689.44</v>
      </c>
      <c r="Y3" s="7">
        <f t="shared" si="10"/>
        <v>10.5999999999999</v>
      </c>
      <c r="Z3" s="7">
        <v>3700.04</v>
      </c>
      <c r="AA3" s="7">
        <f t="shared" si="11"/>
        <v>145.58</v>
      </c>
      <c r="AB3" s="7">
        <v>3845.62</v>
      </c>
      <c r="AC3" s="7">
        <f t="shared" si="12"/>
        <v>64.1800000000003</v>
      </c>
      <c r="AD3" s="15">
        <v>3909.8</v>
      </c>
      <c r="AE3" s="15">
        <f t="shared" si="13"/>
        <v>98.8399999999997</v>
      </c>
      <c r="AF3" s="15">
        <v>4008.64</v>
      </c>
      <c r="AG3" s="15">
        <f t="shared" si="14"/>
        <v>157.920000000001</v>
      </c>
      <c r="AH3" s="15">
        <v>4166.56</v>
      </c>
      <c r="AI3" s="15">
        <f t="shared" si="15"/>
        <v>103.339999999999</v>
      </c>
      <c r="AJ3" s="15">
        <v>4269.9</v>
      </c>
      <c r="AK3" s="15">
        <f t="shared" si="16"/>
        <v>66.25</v>
      </c>
      <c r="AL3" s="15">
        <v>4336.15</v>
      </c>
      <c r="AM3" s="15">
        <f t="shared" si="17"/>
        <v>138.700000000001</v>
      </c>
      <c r="AN3" s="15">
        <v>4474.85</v>
      </c>
      <c r="AO3" s="15">
        <f t="shared" si="18"/>
        <v>78.4499999999998</v>
      </c>
      <c r="AP3" s="15">
        <v>4553.3</v>
      </c>
      <c r="AQ3" s="15">
        <f t="shared" si="19"/>
        <v>56.7699999999995</v>
      </c>
      <c r="AR3" s="15">
        <v>4610.07</v>
      </c>
      <c r="AS3" s="15">
        <f t="shared" si="20"/>
        <v>32.3699999999999</v>
      </c>
      <c r="AT3" s="15">
        <v>4642.44</v>
      </c>
      <c r="AU3" s="20">
        <f t="shared" si="21"/>
        <v>77.6300000000001</v>
      </c>
      <c r="AV3" s="20">
        <v>4720.07</v>
      </c>
      <c r="AW3" s="26">
        <f t="shared" si="22"/>
        <v>121.33</v>
      </c>
      <c r="AX3" s="26">
        <v>4841.4</v>
      </c>
      <c r="AY3" s="26">
        <f t="shared" si="23"/>
        <v>61.2400000000007</v>
      </c>
      <c r="AZ3" s="26">
        <v>4902.64</v>
      </c>
      <c r="BA3" s="26">
        <f t="shared" si="24"/>
        <v>64.3099999999995</v>
      </c>
      <c r="BB3" s="26">
        <v>4966.95</v>
      </c>
      <c r="BC3" s="26">
        <f t="shared" si="25"/>
        <v>87.1000000000004</v>
      </c>
      <c r="BD3" s="26">
        <v>5054.05</v>
      </c>
      <c r="BE3" s="20">
        <f t="shared" si="26"/>
        <v>154.29</v>
      </c>
      <c r="BF3" s="26">
        <v>5208.34</v>
      </c>
      <c r="BG3" s="26">
        <f t="shared" si="27"/>
        <v>181.45</v>
      </c>
      <c r="BH3" s="26">
        <v>5389.79</v>
      </c>
      <c r="BI3" s="26">
        <f t="shared" si="28"/>
        <v>99</v>
      </c>
      <c r="BJ3" s="26">
        <v>5488.79</v>
      </c>
      <c r="BK3" s="26">
        <f t="shared" si="29"/>
        <v>53.9499999999998</v>
      </c>
      <c r="BL3" s="26">
        <v>5542.74</v>
      </c>
      <c r="BM3" s="26">
        <f t="shared" si="30"/>
        <v>72.0300000000007</v>
      </c>
      <c r="BN3" s="26">
        <v>5614.77</v>
      </c>
      <c r="BO3" s="26">
        <f t="shared" si="31"/>
        <v>122.11</v>
      </c>
      <c r="BP3" s="26">
        <v>5736.88</v>
      </c>
      <c r="BQ3" s="26">
        <f t="shared" si="32"/>
        <v>22.0799999999999</v>
      </c>
      <c r="BR3" s="26">
        <v>5758.96</v>
      </c>
      <c r="BS3" s="26">
        <f t="shared" si="33"/>
        <v>108.57</v>
      </c>
      <c r="BT3" s="26">
        <v>5867.53</v>
      </c>
      <c r="BU3" s="26">
        <f t="shared" si="34"/>
        <v>81.8900000000003</v>
      </c>
      <c r="BV3" s="26">
        <v>5949.42</v>
      </c>
      <c r="BW3" s="26">
        <f t="shared" si="35"/>
        <v>63.9799999999996</v>
      </c>
      <c r="BX3" s="26">
        <v>6013.4</v>
      </c>
      <c r="BY3" s="26">
        <f t="shared" si="36"/>
        <v>64.9900000000007</v>
      </c>
      <c r="BZ3" s="26">
        <v>6078.39</v>
      </c>
      <c r="CA3" s="26">
        <f t="shared" si="37"/>
        <v>86.1399999999994</v>
      </c>
      <c r="CB3" s="26">
        <v>6164.53</v>
      </c>
      <c r="CC3" s="26">
        <f t="shared" si="38"/>
        <v>29.3400000000001</v>
      </c>
      <c r="CD3" s="26">
        <v>6193.87</v>
      </c>
      <c r="CE3" s="26">
        <f t="shared" si="39"/>
        <v>82.7200000000003</v>
      </c>
      <c r="CF3" s="26">
        <v>6276.59</v>
      </c>
      <c r="CG3" s="26">
        <f t="shared" si="40"/>
        <v>160.44</v>
      </c>
      <c r="CH3" s="26">
        <v>6437.03</v>
      </c>
      <c r="CI3" s="20" t="s">
        <v>63</v>
      </c>
      <c r="CJ3" s="15">
        <v>1491.37</v>
      </c>
      <c r="CK3" s="15" t="s">
        <v>64</v>
      </c>
      <c r="CL3" s="15">
        <v>1327.12</v>
      </c>
      <c r="CM3" s="7">
        <v>500</v>
      </c>
      <c r="CN3" s="7">
        <v>8.6</v>
      </c>
      <c r="CO3" s="7">
        <v>191519</v>
      </c>
      <c r="CP3" s="15">
        <f t="shared" si="41"/>
        <v>0.598445045308162</v>
      </c>
      <c r="CQ3" s="15">
        <f t="shared" si="42"/>
        <v>3022.78</v>
      </c>
    </row>
    <row r="4" spans="1:95">
      <c r="A4" s="7" t="s">
        <v>65</v>
      </c>
      <c r="B4" s="7" t="s">
        <v>66</v>
      </c>
      <c r="C4" s="7" t="s">
        <v>58</v>
      </c>
      <c r="D4" s="7">
        <v>2533.85</v>
      </c>
      <c r="E4" s="7">
        <f t="shared" si="0"/>
        <v>50.0500000000002</v>
      </c>
      <c r="F4" s="7">
        <v>2583.9</v>
      </c>
      <c r="G4" s="7">
        <f t="shared" si="1"/>
        <v>85.7599999999998</v>
      </c>
      <c r="H4" s="7">
        <v>2669.66</v>
      </c>
      <c r="I4" s="7">
        <f t="shared" si="2"/>
        <v>81.79</v>
      </c>
      <c r="J4" s="7">
        <v>2751.45</v>
      </c>
      <c r="K4" s="7">
        <f t="shared" si="3"/>
        <v>83.1700000000001</v>
      </c>
      <c r="L4" s="7">
        <v>2834.62</v>
      </c>
      <c r="M4" s="7">
        <f t="shared" si="4"/>
        <v>56.9900000000002</v>
      </c>
      <c r="N4" s="7">
        <v>2891.61</v>
      </c>
      <c r="O4" s="7">
        <f t="shared" si="5"/>
        <v>103.98</v>
      </c>
      <c r="P4" s="7">
        <v>2995.59</v>
      </c>
      <c r="Q4" s="7">
        <f t="shared" si="6"/>
        <v>68.8499999999999</v>
      </c>
      <c r="R4" s="7">
        <v>3064.44</v>
      </c>
      <c r="S4" s="7">
        <f t="shared" si="7"/>
        <v>47.6100000000001</v>
      </c>
      <c r="T4" s="7">
        <v>3112.05</v>
      </c>
      <c r="U4" s="7">
        <f t="shared" si="8"/>
        <v>38.1599999999999</v>
      </c>
      <c r="V4" s="10">
        <v>3150.21</v>
      </c>
      <c r="W4" s="7">
        <f t="shared" si="9"/>
        <v>146.1</v>
      </c>
      <c r="X4" s="10">
        <v>3296.31</v>
      </c>
      <c r="Y4" s="7">
        <f t="shared" si="10"/>
        <v>31.9400000000001</v>
      </c>
      <c r="Z4" s="7">
        <v>3328.25</v>
      </c>
      <c r="AA4" s="7">
        <f t="shared" si="11"/>
        <v>79.8800000000001</v>
      </c>
      <c r="AB4" s="7">
        <v>3408.13</v>
      </c>
      <c r="AC4" s="7">
        <f t="shared" si="12"/>
        <v>68.9099999999999</v>
      </c>
      <c r="AD4" s="7">
        <v>3477.04</v>
      </c>
      <c r="AE4" s="15">
        <f t="shared" si="13"/>
        <v>143.74</v>
      </c>
      <c r="AF4" s="15">
        <v>3620.78</v>
      </c>
      <c r="AG4" s="15">
        <f t="shared" si="14"/>
        <v>82.0999999999999</v>
      </c>
      <c r="AH4" s="15">
        <v>3702.88</v>
      </c>
      <c r="AI4" s="15">
        <f t="shared" si="15"/>
        <v>111.1</v>
      </c>
      <c r="AJ4" s="15">
        <v>3813.98</v>
      </c>
      <c r="AK4" s="15">
        <f t="shared" si="16"/>
        <v>119.59</v>
      </c>
      <c r="AL4" s="15">
        <v>3933.57</v>
      </c>
      <c r="AM4" s="15">
        <f t="shared" si="17"/>
        <v>39.71</v>
      </c>
      <c r="AN4" s="15">
        <v>3973.28</v>
      </c>
      <c r="AO4" s="15">
        <f t="shared" si="18"/>
        <v>94.1399999999999</v>
      </c>
      <c r="AP4" s="15">
        <v>4067.42</v>
      </c>
      <c r="AQ4" s="15">
        <f t="shared" si="19"/>
        <v>51.1800000000003</v>
      </c>
      <c r="AR4" s="15">
        <v>4118.6</v>
      </c>
      <c r="AS4" s="15">
        <f t="shared" si="20"/>
        <v>33.4499999999998</v>
      </c>
      <c r="AT4" s="15">
        <v>4152.05</v>
      </c>
      <c r="AU4" s="20">
        <f t="shared" si="21"/>
        <v>31.5199999999995</v>
      </c>
      <c r="AV4" s="20">
        <v>4183.57</v>
      </c>
      <c r="AW4" s="26">
        <f t="shared" si="22"/>
        <v>33.7400000000007</v>
      </c>
      <c r="AX4" s="26">
        <v>4217.31</v>
      </c>
      <c r="AY4" s="26">
        <f t="shared" si="23"/>
        <v>64.8499999999995</v>
      </c>
      <c r="AZ4" s="26">
        <v>4282.16</v>
      </c>
      <c r="BA4" s="26">
        <f t="shared" si="24"/>
        <v>25.75</v>
      </c>
      <c r="BB4" s="26">
        <v>4307.91</v>
      </c>
      <c r="BC4" s="26">
        <f t="shared" si="25"/>
        <v>42.4400000000005</v>
      </c>
      <c r="BD4" s="26">
        <v>4350.35</v>
      </c>
      <c r="BE4" s="20">
        <f t="shared" si="26"/>
        <v>98.5899999999992</v>
      </c>
      <c r="BF4" s="26">
        <v>4448.94</v>
      </c>
      <c r="BG4" s="26">
        <f t="shared" si="27"/>
        <v>93.3700000000008</v>
      </c>
      <c r="BH4" s="26">
        <v>4542.31</v>
      </c>
      <c r="BI4" s="26">
        <f t="shared" si="28"/>
        <v>105.799999999999</v>
      </c>
      <c r="BJ4" s="26">
        <v>4648.11</v>
      </c>
      <c r="BK4" s="26">
        <f t="shared" si="29"/>
        <v>49.4700000000003</v>
      </c>
      <c r="BL4" s="26">
        <v>4697.58</v>
      </c>
      <c r="BM4" s="26">
        <f t="shared" si="30"/>
        <v>57.8599999999997</v>
      </c>
      <c r="BN4" s="26">
        <v>4755.44</v>
      </c>
      <c r="BO4" s="26">
        <f t="shared" si="31"/>
        <v>55.5500000000002</v>
      </c>
      <c r="BP4" s="26">
        <v>4810.99</v>
      </c>
      <c r="BQ4" s="26">
        <f t="shared" si="32"/>
        <v>63.8900000000003</v>
      </c>
      <c r="BR4" s="26">
        <v>4874.88</v>
      </c>
      <c r="BS4" s="26">
        <f t="shared" si="33"/>
        <v>54.25</v>
      </c>
      <c r="BT4" s="26">
        <v>4929.13</v>
      </c>
      <c r="BU4" s="26">
        <f t="shared" si="34"/>
        <v>68.8800000000001</v>
      </c>
      <c r="BV4" s="26">
        <v>4998.01</v>
      </c>
      <c r="BW4" s="26">
        <f t="shared" si="35"/>
        <v>72.1899999999996</v>
      </c>
      <c r="BX4" s="26">
        <v>5070.2</v>
      </c>
      <c r="BY4" s="26">
        <f t="shared" si="36"/>
        <v>38.8299999999999</v>
      </c>
      <c r="BZ4" s="26">
        <v>5109.03</v>
      </c>
      <c r="CA4" s="26">
        <f t="shared" si="37"/>
        <v>102.610000000001</v>
      </c>
      <c r="CB4" s="26">
        <v>5211.64</v>
      </c>
      <c r="CC4" s="26">
        <f t="shared" si="38"/>
        <v>59.3199999999997</v>
      </c>
      <c r="CD4" s="26">
        <v>5270.96</v>
      </c>
      <c r="CE4" s="26">
        <f t="shared" si="39"/>
        <v>63.2200000000003</v>
      </c>
      <c r="CF4" s="26">
        <v>5334.18</v>
      </c>
      <c r="CG4" s="26">
        <f t="shared" si="40"/>
        <v>272.25</v>
      </c>
      <c r="CH4" s="26">
        <v>5606.43</v>
      </c>
      <c r="CI4" s="20" t="s">
        <v>67</v>
      </c>
      <c r="CJ4" s="15">
        <v>1299.42</v>
      </c>
      <c r="CK4" s="15" t="s">
        <v>67</v>
      </c>
      <c r="CL4" s="15">
        <v>1010.07</v>
      </c>
      <c r="CM4" s="7">
        <v>200</v>
      </c>
      <c r="CN4" s="7">
        <v>1.6</v>
      </c>
      <c r="CO4" s="7">
        <v>172501</v>
      </c>
      <c r="CP4" s="15">
        <f t="shared" si="41"/>
        <v>0.598670073469213</v>
      </c>
      <c r="CQ4" s="15">
        <f t="shared" si="42"/>
        <v>2277.14</v>
      </c>
    </row>
    <row r="5" spans="1:95">
      <c r="A5" s="7" t="s">
        <v>68</v>
      </c>
      <c r="B5" s="7" t="s">
        <v>69</v>
      </c>
      <c r="C5" s="7" t="s">
        <v>70</v>
      </c>
      <c r="D5" s="7">
        <v>1754.54</v>
      </c>
      <c r="E5" s="7">
        <f t="shared" si="0"/>
        <v>53.3700000000001</v>
      </c>
      <c r="F5" s="7">
        <v>1807.91</v>
      </c>
      <c r="G5" s="7">
        <f t="shared" si="1"/>
        <v>90.24</v>
      </c>
      <c r="H5" s="7">
        <v>1898.15</v>
      </c>
      <c r="I5" s="7">
        <f t="shared" si="2"/>
        <v>90.3799999999999</v>
      </c>
      <c r="J5" s="7">
        <v>1988.53</v>
      </c>
      <c r="K5" s="7">
        <f t="shared" si="3"/>
        <v>59.7099999999998</v>
      </c>
      <c r="L5" s="7">
        <v>2048.24</v>
      </c>
      <c r="M5" s="7">
        <f t="shared" si="4"/>
        <v>153.99</v>
      </c>
      <c r="N5" s="7">
        <v>2202.23</v>
      </c>
      <c r="O5" s="7">
        <f t="shared" si="5"/>
        <v>64.21</v>
      </c>
      <c r="P5" s="7">
        <v>2266.44</v>
      </c>
      <c r="Q5" s="7">
        <f t="shared" si="6"/>
        <v>47.5599999999999</v>
      </c>
      <c r="R5" s="7">
        <v>2314</v>
      </c>
      <c r="S5" s="7">
        <f t="shared" si="7"/>
        <v>59.6500000000001</v>
      </c>
      <c r="T5" s="7">
        <v>2373.65</v>
      </c>
      <c r="U5" s="7">
        <f t="shared" si="8"/>
        <v>70.6399999999999</v>
      </c>
      <c r="V5" s="10">
        <v>2444.29</v>
      </c>
      <c r="W5" s="7">
        <f t="shared" si="9"/>
        <v>95.9299999999998</v>
      </c>
      <c r="X5" s="10">
        <v>2540.22</v>
      </c>
      <c r="Y5" s="7">
        <f t="shared" si="10"/>
        <v>90.3200000000002</v>
      </c>
      <c r="Z5" s="7">
        <v>2630.54</v>
      </c>
      <c r="AA5" s="7">
        <f t="shared" si="11"/>
        <v>69.7800000000002</v>
      </c>
      <c r="AB5" s="7">
        <v>2700.32</v>
      </c>
      <c r="AC5" s="7">
        <f t="shared" si="12"/>
        <v>57.52</v>
      </c>
      <c r="AD5" s="7">
        <v>2757.84</v>
      </c>
      <c r="AE5" s="15">
        <f t="shared" si="13"/>
        <v>217.06</v>
      </c>
      <c r="AF5" s="15">
        <v>2974.9</v>
      </c>
      <c r="AG5" s="15">
        <f t="shared" si="14"/>
        <v>18.4400000000001</v>
      </c>
      <c r="AH5" s="15">
        <v>2993.34</v>
      </c>
      <c r="AI5" s="15">
        <f t="shared" si="15"/>
        <v>38.29</v>
      </c>
      <c r="AJ5" s="15">
        <v>3031.63</v>
      </c>
      <c r="AK5" s="15">
        <f t="shared" si="16"/>
        <v>71.1199999999999</v>
      </c>
      <c r="AL5" s="15">
        <v>3102.75</v>
      </c>
      <c r="AM5" s="15">
        <f t="shared" si="17"/>
        <v>69.4400000000001</v>
      </c>
      <c r="AN5" s="15">
        <v>3172.19</v>
      </c>
      <c r="AO5" s="15">
        <f t="shared" si="18"/>
        <v>69.0799999999999</v>
      </c>
      <c r="AP5" s="15">
        <v>3241.27</v>
      </c>
      <c r="AQ5" s="15">
        <f t="shared" si="19"/>
        <v>24.2199999999998</v>
      </c>
      <c r="AR5" s="15">
        <v>3265.49</v>
      </c>
      <c r="AS5" s="15">
        <f t="shared" si="20"/>
        <v>38.8000000000002</v>
      </c>
      <c r="AT5" s="15">
        <v>3304.29</v>
      </c>
      <c r="AU5" s="20">
        <f t="shared" si="21"/>
        <v>84.8800000000001</v>
      </c>
      <c r="AV5" s="20">
        <v>3389.17</v>
      </c>
      <c r="AW5" s="26">
        <f t="shared" si="22"/>
        <v>63.1199999999999</v>
      </c>
      <c r="AX5" s="26">
        <v>3452.29</v>
      </c>
      <c r="AY5" s="26">
        <f t="shared" si="23"/>
        <v>-0.860000000000127</v>
      </c>
      <c r="AZ5" s="26">
        <v>3451.43</v>
      </c>
      <c r="BA5" s="26">
        <f t="shared" si="24"/>
        <v>48.96</v>
      </c>
      <c r="BB5" s="26">
        <v>3500.39</v>
      </c>
      <c r="BC5" s="26">
        <f t="shared" si="25"/>
        <v>54.3800000000001</v>
      </c>
      <c r="BD5" s="26">
        <v>3554.77</v>
      </c>
      <c r="BE5" s="20">
        <f t="shared" si="26"/>
        <v>92.1300000000001</v>
      </c>
      <c r="BF5" s="26">
        <v>3646.9</v>
      </c>
      <c r="BG5" s="26">
        <f t="shared" si="27"/>
        <v>120.14</v>
      </c>
      <c r="BH5" s="26">
        <v>3767.04</v>
      </c>
      <c r="BI5" s="26">
        <f t="shared" si="28"/>
        <v>36.4200000000001</v>
      </c>
      <c r="BJ5" s="26">
        <v>3803.46</v>
      </c>
      <c r="BK5" s="26">
        <f t="shared" si="29"/>
        <v>87.1700000000001</v>
      </c>
      <c r="BL5" s="26">
        <v>3890.63</v>
      </c>
      <c r="BM5" s="26">
        <f t="shared" si="30"/>
        <v>20.7599999999998</v>
      </c>
      <c r="BN5" s="26">
        <v>3911.39</v>
      </c>
      <c r="BO5" s="26">
        <f t="shared" si="31"/>
        <v>110.8</v>
      </c>
      <c r="BP5" s="26">
        <v>4022.19</v>
      </c>
      <c r="BQ5" s="26">
        <f t="shared" si="32"/>
        <v>37.6399999999999</v>
      </c>
      <c r="BR5" s="26">
        <v>4059.83</v>
      </c>
      <c r="BS5" s="26">
        <f t="shared" si="33"/>
        <v>70.5100000000002</v>
      </c>
      <c r="BT5" s="26">
        <v>4130.34</v>
      </c>
      <c r="BU5" s="26">
        <f t="shared" si="34"/>
        <v>59.71</v>
      </c>
      <c r="BV5" s="26">
        <v>4190.05</v>
      </c>
      <c r="BW5" s="26">
        <f t="shared" si="35"/>
        <v>140.139999999999</v>
      </c>
      <c r="BX5" s="26">
        <v>4330.19</v>
      </c>
      <c r="BY5" s="26">
        <f t="shared" si="36"/>
        <v>49.6600000000008</v>
      </c>
      <c r="BZ5" s="26">
        <v>4379.85</v>
      </c>
      <c r="CA5" s="26">
        <f t="shared" si="37"/>
        <v>31.3499999999995</v>
      </c>
      <c r="CB5" s="26">
        <v>4411.2</v>
      </c>
      <c r="CC5" s="26">
        <f t="shared" si="38"/>
        <v>75.0799999999999</v>
      </c>
      <c r="CD5" s="26">
        <v>4486.28</v>
      </c>
      <c r="CE5" s="26">
        <f t="shared" si="39"/>
        <v>156.8</v>
      </c>
      <c r="CF5" s="26">
        <v>4643.08</v>
      </c>
      <c r="CG5" s="26">
        <f t="shared" si="40"/>
        <v>88.8100000000004</v>
      </c>
      <c r="CH5" s="26">
        <v>4731.89</v>
      </c>
      <c r="CI5" s="20" t="s">
        <v>71</v>
      </c>
      <c r="CJ5" s="15">
        <v>1030.52</v>
      </c>
      <c r="CK5" s="15" t="s">
        <v>72</v>
      </c>
      <c r="CL5" s="15">
        <v>686.88</v>
      </c>
      <c r="CM5" s="7">
        <v>300</v>
      </c>
      <c r="CN5" s="7">
        <v>2.2</v>
      </c>
      <c r="CO5" s="7">
        <v>132783</v>
      </c>
      <c r="CP5" s="15">
        <f t="shared" si="41"/>
        <v>0.56253065054344</v>
      </c>
      <c r="CQ5" s="15">
        <f t="shared" si="42"/>
        <v>2267.65</v>
      </c>
    </row>
    <row r="6" spans="1:95">
      <c r="A6" s="7" t="s">
        <v>73</v>
      </c>
      <c r="B6" s="7" t="s">
        <v>74</v>
      </c>
      <c r="C6" s="7" t="s">
        <v>75</v>
      </c>
      <c r="D6" s="7">
        <v>1735.94</v>
      </c>
      <c r="E6" s="7">
        <f t="shared" si="0"/>
        <v>48.5999999999999</v>
      </c>
      <c r="F6" s="7">
        <v>1784.54</v>
      </c>
      <c r="G6" s="7">
        <f t="shared" si="1"/>
        <v>74.1600000000001</v>
      </c>
      <c r="H6" s="7">
        <v>1858.7</v>
      </c>
      <c r="I6" s="7">
        <f t="shared" si="2"/>
        <v>65.55</v>
      </c>
      <c r="J6" s="7">
        <v>1924.25</v>
      </c>
      <c r="K6" s="7">
        <f t="shared" si="3"/>
        <v>35.73</v>
      </c>
      <c r="L6" s="7">
        <v>1959.98</v>
      </c>
      <c r="M6" s="7">
        <f t="shared" si="4"/>
        <v>41.8799999999999</v>
      </c>
      <c r="N6" s="7">
        <v>2001.86</v>
      </c>
      <c r="O6" s="7">
        <f t="shared" si="5"/>
        <v>74.6600000000001</v>
      </c>
      <c r="P6" s="7">
        <v>2076.52</v>
      </c>
      <c r="Q6" s="7">
        <f t="shared" si="6"/>
        <v>48.71</v>
      </c>
      <c r="R6" s="7">
        <v>2125.23</v>
      </c>
      <c r="S6" s="7">
        <f t="shared" si="7"/>
        <v>57.4200000000001</v>
      </c>
      <c r="T6" s="7">
        <v>2182.65</v>
      </c>
      <c r="U6" s="7">
        <f t="shared" si="8"/>
        <v>68.9400000000001</v>
      </c>
      <c r="V6" s="10">
        <v>2251.59</v>
      </c>
      <c r="W6" s="7">
        <f t="shared" si="9"/>
        <v>72.0299999999997</v>
      </c>
      <c r="X6" s="10">
        <v>2323.62</v>
      </c>
      <c r="Y6" s="7">
        <f t="shared" si="10"/>
        <v>23.6300000000001</v>
      </c>
      <c r="Z6" s="7">
        <v>2347.25</v>
      </c>
      <c r="AA6" s="7">
        <f t="shared" si="11"/>
        <v>64.5300000000002</v>
      </c>
      <c r="AB6" s="7">
        <v>2411.78</v>
      </c>
      <c r="AC6" s="7">
        <f t="shared" si="12"/>
        <v>30.2599999999998</v>
      </c>
      <c r="AD6" s="7">
        <v>2442.04</v>
      </c>
      <c r="AE6" s="15">
        <f t="shared" si="13"/>
        <v>104.94</v>
      </c>
      <c r="AF6" s="15">
        <v>2546.98</v>
      </c>
      <c r="AG6" s="15">
        <f t="shared" si="14"/>
        <v>38.04</v>
      </c>
      <c r="AH6" s="15">
        <v>2585.02</v>
      </c>
      <c r="AI6" s="15">
        <f t="shared" si="15"/>
        <v>96.6999999999998</v>
      </c>
      <c r="AJ6" s="15">
        <v>2681.72</v>
      </c>
      <c r="AK6" s="15">
        <f t="shared" si="16"/>
        <v>66.25</v>
      </c>
      <c r="AL6" s="15">
        <v>2747.97</v>
      </c>
      <c r="AM6" s="15">
        <f t="shared" si="17"/>
        <v>75.9900000000002</v>
      </c>
      <c r="AN6" s="15">
        <v>2823.96</v>
      </c>
      <c r="AO6" s="15">
        <f t="shared" si="18"/>
        <v>50.5</v>
      </c>
      <c r="AP6" s="15">
        <v>2874.46</v>
      </c>
      <c r="AQ6" s="15">
        <f t="shared" si="19"/>
        <v>48.75</v>
      </c>
      <c r="AR6" s="15">
        <v>2923.21</v>
      </c>
      <c r="AS6" s="15">
        <f t="shared" si="20"/>
        <v>48.6399999999999</v>
      </c>
      <c r="AT6" s="15">
        <v>2971.85</v>
      </c>
      <c r="AU6" s="20">
        <f t="shared" si="21"/>
        <v>75.46</v>
      </c>
      <c r="AV6" s="20">
        <v>3047.31</v>
      </c>
      <c r="AW6" s="26">
        <f t="shared" si="22"/>
        <v>81.1599999999999</v>
      </c>
      <c r="AX6" s="26">
        <v>3128.47</v>
      </c>
      <c r="AY6" s="26">
        <f t="shared" si="23"/>
        <v>52.8700000000003</v>
      </c>
      <c r="AZ6" s="26">
        <v>3181.34</v>
      </c>
      <c r="BA6" s="26">
        <f t="shared" si="24"/>
        <v>65.5899999999997</v>
      </c>
      <c r="BB6" s="26">
        <v>3246.93</v>
      </c>
      <c r="BC6" s="26">
        <f t="shared" si="25"/>
        <v>50.3800000000001</v>
      </c>
      <c r="BD6" s="26">
        <v>3297.31</v>
      </c>
      <c r="BE6" s="20">
        <f t="shared" si="26"/>
        <v>85.7800000000002</v>
      </c>
      <c r="BF6" s="26">
        <v>3383.09</v>
      </c>
      <c r="BG6" s="26">
        <f t="shared" si="27"/>
        <v>41.6399999999999</v>
      </c>
      <c r="BH6" s="26">
        <v>3424.73</v>
      </c>
      <c r="BI6" s="26">
        <f t="shared" si="28"/>
        <v>54.73</v>
      </c>
      <c r="BJ6" s="26">
        <v>3479.46</v>
      </c>
      <c r="BK6" s="26">
        <f t="shared" si="29"/>
        <v>94.9299999999998</v>
      </c>
      <c r="BL6" s="26">
        <v>3574.39</v>
      </c>
      <c r="BM6" s="26">
        <f t="shared" si="30"/>
        <v>44.52</v>
      </c>
      <c r="BN6" s="26">
        <v>3618.91</v>
      </c>
      <c r="BO6" s="26">
        <f t="shared" si="31"/>
        <v>61.5500000000002</v>
      </c>
      <c r="BP6" s="26">
        <v>3680.46</v>
      </c>
      <c r="BQ6" s="26">
        <f t="shared" si="32"/>
        <v>71.6100000000001</v>
      </c>
      <c r="BR6" s="26">
        <v>3752.07</v>
      </c>
      <c r="BS6" s="26">
        <f t="shared" si="33"/>
        <v>90.6699999999996</v>
      </c>
      <c r="BT6" s="26">
        <v>3842.74</v>
      </c>
      <c r="BU6" s="26">
        <f t="shared" si="34"/>
        <v>-22.04</v>
      </c>
      <c r="BV6" s="26">
        <v>3820.7</v>
      </c>
      <c r="BW6" s="26">
        <f t="shared" si="35"/>
        <v>108.59</v>
      </c>
      <c r="BX6" s="26">
        <v>3929.29</v>
      </c>
      <c r="BY6" s="26">
        <f t="shared" si="36"/>
        <v>39.0799999999999</v>
      </c>
      <c r="BZ6" s="26">
        <v>3968.37</v>
      </c>
      <c r="CA6" s="26">
        <f t="shared" si="37"/>
        <v>78.1700000000001</v>
      </c>
      <c r="CB6" s="26">
        <v>4046.54</v>
      </c>
      <c r="CC6" s="26">
        <f t="shared" si="38"/>
        <v>77.5200000000004</v>
      </c>
      <c r="CD6" s="26">
        <v>4124.06</v>
      </c>
      <c r="CE6" s="26">
        <f t="shared" si="39"/>
        <v>57.21</v>
      </c>
      <c r="CF6" s="26">
        <v>4181.27</v>
      </c>
      <c r="CG6" s="26">
        <f t="shared" si="40"/>
        <v>110.4</v>
      </c>
      <c r="CH6" s="26">
        <v>4291.67</v>
      </c>
      <c r="CI6" s="20" t="s">
        <v>76</v>
      </c>
      <c r="CJ6" s="15">
        <v>1119.07</v>
      </c>
      <c r="CK6" s="31" t="s">
        <v>77</v>
      </c>
      <c r="CL6" s="31">
        <v>824.67</v>
      </c>
      <c r="CM6" s="32">
        <v>80</v>
      </c>
      <c r="CN6" s="32">
        <v>7.2</v>
      </c>
      <c r="CO6" s="32">
        <v>150192</v>
      </c>
      <c r="CP6" s="15">
        <f t="shared" si="41"/>
        <v>0.673527510269895</v>
      </c>
      <c r="CQ6" s="15">
        <f t="shared" si="42"/>
        <v>1944.52</v>
      </c>
    </row>
    <row r="7" spans="1:95">
      <c r="A7" s="7" t="s">
        <v>68</v>
      </c>
      <c r="B7" s="7" t="s">
        <v>78</v>
      </c>
      <c r="C7" s="7" t="s">
        <v>58</v>
      </c>
      <c r="D7" s="7">
        <v>2136.24</v>
      </c>
      <c r="E7" s="7">
        <f t="shared" si="0"/>
        <v>40.8200000000002</v>
      </c>
      <c r="F7" s="7">
        <v>2177.06</v>
      </c>
      <c r="G7" s="7">
        <f t="shared" si="1"/>
        <v>62.5999999999999</v>
      </c>
      <c r="H7" s="7">
        <v>2239.66</v>
      </c>
      <c r="I7" s="7">
        <f t="shared" si="2"/>
        <v>47.0700000000002</v>
      </c>
      <c r="J7" s="7">
        <v>2286.73</v>
      </c>
      <c r="K7" s="7">
        <f t="shared" si="3"/>
        <v>25.52</v>
      </c>
      <c r="L7" s="7">
        <v>2312.25</v>
      </c>
      <c r="M7" s="7">
        <f t="shared" si="4"/>
        <v>36.7800000000002</v>
      </c>
      <c r="N7" s="7">
        <v>2349.03</v>
      </c>
      <c r="O7" s="7">
        <f t="shared" si="5"/>
        <v>-18.02</v>
      </c>
      <c r="P7" s="7">
        <v>2331.01</v>
      </c>
      <c r="Q7" s="7">
        <f t="shared" si="6"/>
        <v>62.7599999999998</v>
      </c>
      <c r="R7" s="7">
        <v>2393.77</v>
      </c>
      <c r="S7" s="7">
        <f t="shared" si="7"/>
        <v>55.5599999999999</v>
      </c>
      <c r="T7" s="7">
        <v>2449.33</v>
      </c>
      <c r="U7" s="7">
        <f t="shared" si="8"/>
        <v>31.96</v>
      </c>
      <c r="V7" s="10">
        <v>2481.29</v>
      </c>
      <c r="W7" s="7">
        <f t="shared" si="9"/>
        <v>109.47</v>
      </c>
      <c r="X7" s="10">
        <v>2590.76</v>
      </c>
      <c r="Y7" s="7">
        <f t="shared" si="10"/>
        <v>20.4299999999998</v>
      </c>
      <c r="Z7" s="7">
        <v>2611.19</v>
      </c>
      <c r="AA7" s="7">
        <f t="shared" si="11"/>
        <v>32.9899999999998</v>
      </c>
      <c r="AB7" s="7">
        <v>2644.18</v>
      </c>
      <c r="AC7" s="7">
        <f t="shared" si="12"/>
        <v>45.9000000000001</v>
      </c>
      <c r="AD7" s="7">
        <v>2690.08</v>
      </c>
      <c r="AE7" s="15">
        <f t="shared" si="13"/>
        <v>62.79</v>
      </c>
      <c r="AF7" s="15">
        <v>2752.87</v>
      </c>
      <c r="AG7" s="15">
        <f t="shared" si="14"/>
        <v>72.2800000000002</v>
      </c>
      <c r="AH7" s="15">
        <v>2825.15</v>
      </c>
      <c r="AI7" s="15">
        <f t="shared" si="15"/>
        <v>38.1900000000001</v>
      </c>
      <c r="AJ7" s="15">
        <v>2863.34</v>
      </c>
      <c r="AK7" s="15">
        <f t="shared" si="16"/>
        <v>82.1299999999997</v>
      </c>
      <c r="AL7" s="15">
        <v>2945.47</v>
      </c>
      <c r="AM7" s="15">
        <f t="shared" si="17"/>
        <v>39.5400000000004</v>
      </c>
      <c r="AN7" s="15">
        <v>2985.01</v>
      </c>
      <c r="AO7" s="15">
        <f t="shared" si="18"/>
        <v>42.0499999999997</v>
      </c>
      <c r="AP7" s="15">
        <v>3027.06</v>
      </c>
      <c r="AQ7" s="15">
        <f t="shared" si="19"/>
        <v>50.5799999999999</v>
      </c>
      <c r="AR7" s="15">
        <v>3077.64</v>
      </c>
      <c r="AS7" s="15">
        <f t="shared" si="20"/>
        <v>42.5599999999999</v>
      </c>
      <c r="AT7" s="15">
        <v>3120.2</v>
      </c>
      <c r="AU7" s="20">
        <f t="shared" si="21"/>
        <v>91.8800000000001</v>
      </c>
      <c r="AV7" s="20">
        <v>3212.08</v>
      </c>
      <c r="AW7" s="26">
        <f t="shared" si="22"/>
        <v>74.0500000000002</v>
      </c>
      <c r="AX7" s="26">
        <v>3286.13</v>
      </c>
      <c r="AY7" s="26">
        <f t="shared" si="23"/>
        <v>43.98</v>
      </c>
      <c r="AZ7" s="26">
        <v>3330.11</v>
      </c>
      <c r="BA7" s="26">
        <f t="shared" si="24"/>
        <v>35.3499999999999</v>
      </c>
      <c r="BB7" s="26">
        <v>3365.46</v>
      </c>
      <c r="BC7" s="26">
        <f t="shared" si="25"/>
        <v>38.3899999999999</v>
      </c>
      <c r="BD7" s="26">
        <v>3403.85</v>
      </c>
      <c r="BE7" s="20">
        <f t="shared" si="26"/>
        <v>53.21</v>
      </c>
      <c r="BF7" s="26">
        <v>3457.06</v>
      </c>
      <c r="BG7" s="26">
        <f t="shared" si="27"/>
        <v>115.36</v>
      </c>
      <c r="BH7" s="26">
        <v>3572.42</v>
      </c>
      <c r="BI7" s="26">
        <f t="shared" si="28"/>
        <v>19.0799999999999</v>
      </c>
      <c r="BJ7" s="26">
        <v>3591.5</v>
      </c>
      <c r="BK7" s="26">
        <f t="shared" si="29"/>
        <v>50.9499999999998</v>
      </c>
      <c r="BL7" s="26">
        <v>3642.45</v>
      </c>
      <c r="BM7" s="26">
        <f t="shared" si="30"/>
        <v>32.1300000000001</v>
      </c>
      <c r="BN7" s="26">
        <v>3674.58</v>
      </c>
      <c r="BO7" s="26">
        <f t="shared" si="31"/>
        <v>46.4099999999999</v>
      </c>
      <c r="BP7" s="26">
        <v>3720.99</v>
      </c>
      <c r="BQ7" s="26">
        <f t="shared" si="32"/>
        <v>52.0300000000002</v>
      </c>
      <c r="BR7" s="26">
        <v>3773.02</v>
      </c>
      <c r="BS7" s="26">
        <f t="shared" si="33"/>
        <v>27.8600000000001</v>
      </c>
      <c r="BT7" s="26">
        <v>3800.88</v>
      </c>
      <c r="BU7" s="26">
        <f t="shared" si="34"/>
        <v>49.29</v>
      </c>
      <c r="BV7" s="26">
        <v>3850.17</v>
      </c>
      <c r="BW7" s="26">
        <f t="shared" si="35"/>
        <v>124.53</v>
      </c>
      <c r="BX7" s="26">
        <v>3974.7</v>
      </c>
      <c r="BY7" s="26">
        <f t="shared" si="36"/>
        <v>10.3200000000002</v>
      </c>
      <c r="BZ7" s="26">
        <v>3985.02</v>
      </c>
      <c r="CA7" s="26">
        <f t="shared" si="37"/>
        <v>123.75</v>
      </c>
      <c r="CB7" s="26">
        <v>4108.77</v>
      </c>
      <c r="CC7" s="26">
        <f t="shared" si="38"/>
        <v>30.1999999999998</v>
      </c>
      <c r="CD7" s="26">
        <v>4138.97</v>
      </c>
      <c r="CE7" s="26">
        <f t="shared" si="39"/>
        <v>28.96</v>
      </c>
      <c r="CF7" s="26">
        <v>4167.93</v>
      </c>
      <c r="CG7" s="26">
        <f t="shared" si="40"/>
        <v>87.5099999999993</v>
      </c>
      <c r="CH7" s="26">
        <v>4255.44</v>
      </c>
      <c r="CI7" s="20" t="s">
        <v>79</v>
      </c>
      <c r="CJ7" s="15">
        <v>1490.92</v>
      </c>
      <c r="CK7" s="31" t="s">
        <v>80</v>
      </c>
      <c r="CL7" s="31">
        <v>1211.82</v>
      </c>
      <c r="CM7" s="32">
        <v>20</v>
      </c>
      <c r="CN7" s="32">
        <v>1.2</v>
      </c>
      <c r="CO7" s="32">
        <v>153852</v>
      </c>
      <c r="CP7" s="15">
        <f t="shared" si="41"/>
        <v>0.904970193446506</v>
      </c>
      <c r="CQ7" s="15">
        <f t="shared" si="42"/>
        <v>1584.75</v>
      </c>
    </row>
    <row r="8" spans="1:95">
      <c r="A8" s="1" t="s">
        <v>61</v>
      </c>
      <c r="B8" s="1" t="s">
        <v>81</v>
      </c>
      <c r="C8" s="1" t="s">
        <v>75</v>
      </c>
      <c r="D8" s="1">
        <v>1350.52</v>
      </c>
      <c r="E8" s="1">
        <f t="shared" si="0"/>
        <v>52.6800000000001</v>
      </c>
      <c r="F8" s="1">
        <v>1403.2</v>
      </c>
      <c r="G8" s="1">
        <f t="shared" si="1"/>
        <v>55.3199999999999</v>
      </c>
      <c r="H8" s="1">
        <v>1458.52</v>
      </c>
      <c r="I8" s="1">
        <f t="shared" si="2"/>
        <v>32.6800000000001</v>
      </c>
      <c r="J8" s="1">
        <v>1491.2</v>
      </c>
      <c r="K8" s="1">
        <f t="shared" si="3"/>
        <v>54.96</v>
      </c>
      <c r="L8" s="1">
        <v>1546.16</v>
      </c>
      <c r="M8" s="1">
        <f t="shared" si="4"/>
        <v>92.1299999999999</v>
      </c>
      <c r="N8" s="1">
        <v>1638.29</v>
      </c>
      <c r="O8" s="1">
        <f t="shared" si="5"/>
        <v>59.4400000000001</v>
      </c>
      <c r="P8" s="1">
        <v>1697.73</v>
      </c>
      <c r="Q8" s="1">
        <f t="shared" si="6"/>
        <v>71.3399999999999</v>
      </c>
      <c r="R8" s="1">
        <v>1769.07</v>
      </c>
      <c r="S8" s="1">
        <f t="shared" si="7"/>
        <v>62.9000000000001</v>
      </c>
      <c r="T8" s="1">
        <v>1831.97</v>
      </c>
      <c r="U8" s="1">
        <f t="shared" si="8"/>
        <v>66.5899999999999</v>
      </c>
      <c r="V8" s="11">
        <v>1898.56</v>
      </c>
      <c r="W8" s="1">
        <f t="shared" si="9"/>
        <v>48.77</v>
      </c>
      <c r="X8" s="11">
        <v>1947.33</v>
      </c>
      <c r="Y8" s="1">
        <f t="shared" si="10"/>
        <v>59.47</v>
      </c>
      <c r="Z8" s="1">
        <v>2006.8</v>
      </c>
      <c r="AA8" s="1">
        <f t="shared" si="11"/>
        <v>82.3900000000001</v>
      </c>
      <c r="AB8" s="1">
        <v>2089.19</v>
      </c>
      <c r="AC8" s="1">
        <f t="shared" si="12"/>
        <v>98.8200000000002</v>
      </c>
      <c r="AD8" s="1">
        <v>2188.01</v>
      </c>
      <c r="AE8" s="16">
        <f t="shared" si="13"/>
        <v>16.2299999999996</v>
      </c>
      <c r="AF8" s="16">
        <v>2204.24</v>
      </c>
      <c r="AG8" s="16">
        <f t="shared" si="14"/>
        <v>95.3900000000003</v>
      </c>
      <c r="AH8" s="16">
        <v>2299.63</v>
      </c>
      <c r="AI8" s="16">
        <f t="shared" si="15"/>
        <v>60.0299999999997</v>
      </c>
      <c r="AJ8" s="16">
        <v>2359.66</v>
      </c>
      <c r="AK8" s="16">
        <f t="shared" si="16"/>
        <v>45.3800000000001</v>
      </c>
      <c r="AL8" s="16">
        <v>2405.04</v>
      </c>
      <c r="AM8" s="16">
        <f t="shared" si="17"/>
        <v>44.75</v>
      </c>
      <c r="AN8" s="16">
        <v>2449.79</v>
      </c>
      <c r="AO8" s="16">
        <f t="shared" si="18"/>
        <v>67.21</v>
      </c>
      <c r="AP8" s="16">
        <v>2517</v>
      </c>
      <c r="AQ8" s="16">
        <f t="shared" si="19"/>
        <v>77.1799999999998</v>
      </c>
      <c r="AR8" s="16">
        <v>2594.18</v>
      </c>
      <c r="AS8" s="16">
        <f t="shared" si="20"/>
        <v>66.6600000000003</v>
      </c>
      <c r="AT8" s="16">
        <v>2660.84</v>
      </c>
      <c r="AU8" s="21">
        <f t="shared" si="21"/>
        <v>56.3799999999997</v>
      </c>
      <c r="AV8" s="21">
        <v>2717.22</v>
      </c>
      <c r="AW8" s="27">
        <f t="shared" si="22"/>
        <v>98.5600000000004</v>
      </c>
      <c r="AX8" s="27">
        <v>2815.78</v>
      </c>
      <c r="AY8" s="27">
        <f t="shared" si="23"/>
        <v>69.3599999999997</v>
      </c>
      <c r="AZ8" s="27">
        <v>2885.14</v>
      </c>
      <c r="BA8" s="27">
        <f t="shared" si="24"/>
        <v>51.7000000000003</v>
      </c>
      <c r="BB8" s="27">
        <v>2936.84</v>
      </c>
      <c r="BC8" s="27">
        <f t="shared" si="25"/>
        <v>48.27</v>
      </c>
      <c r="BD8" s="27">
        <v>2985.11</v>
      </c>
      <c r="BE8" s="21">
        <f t="shared" si="26"/>
        <v>116.59</v>
      </c>
      <c r="BF8" s="27">
        <v>3101.7</v>
      </c>
      <c r="BG8" s="27">
        <f t="shared" si="27"/>
        <v>105.88</v>
      </c>
      <c r="BH8" s="27">
        <v>3207.58</v>
      </c>
      <c r="BI8" s="27">
        <f t="shared" si="28"/>
        <v>53.5500000000002</v>
      </c>
      <c r="BJ8" s="27">
        <v>3261.13</v>
      </c>
      <c r="BK8" s="27">
        <f t="shared" si="29"/>
        <v>69.3499999999999</v>
      </c>
      <c r="BL8" s="27">
        <v>3330.48</v>
      </c>
      <c r="BM8" s="27">
        <f t="shared" si="30"/>
        <v>51.21</v>
      </c>
      <c r="BN8" s="27">
        <v>3381.69</v>
      </c>
      <c r="BO8" s="27">
        <f t="shared" si="31"/>
        <v>73.3899999999999</v>
      </c>
      <c r="BP8" s="27">
        <v>3455.08</v>
      </c>
      <c r="BQ8" s="27">
        <f t="shared" si="32"/>
        <v>51.1500000000001</v>
      </c>
      <c r="BR8" s="27">
        <v>3506.23</v>
      </c>
      <c r="BS8" s="27">
        <f t="shared" si="33"/>
        <v>65.75</v>
      </c>
      <c r="BT8" s="27">
        <v>3571.98</v>
      </c>
      <c r="BU8" s="27">
        <f t="shared" si="34"/>
        <v>48.3299999999999</v>
      </c>
      <c r="BV8" s="27">
        <v>3620.31</v>
      </c>
      <c r="BW8" s="27">
        <f t="shared" si="35"/>
        <v>53.7600000000002</v>
      </c>
      <c r="BX8" s="27">
        <v>3674.07</v>
      </c>
      <c r="BY8" s="27">
        <f t="shared" si="36"/>
        <v>42.46</v>
      </c>
      <c r="BZ8" s="27">
        <v>3716.53</v>
      </c>
      <c r="CA8" s="27">
        <f t="shared" si="37"/>
        <v>90.29</v>
      </c>
      <c r="CB8" s="27">
        <v>3806.82</v>
      </c>
      <c r="CC8" s="27">
        <f t="shared" si="38"/>
        <v>61.29</v>
      </c>
      <c r="CD8" s="27">
        <v>3868.11</v>
      </c>
      <c r="CE8" s="27">
        <f t="shared" si="39"/>
        <v>47.0999999999999</v>
      </c>
      <c r="CF8" s="27">
        <v>3915.21</v>
      </c>
      <c r="CG8" s="26">
        <f t="shared" si="40"/>
        <v>63.4200000000001</v>
      </c>
      <c r="CH8" s="27">
        <v>3978.63</v>
      </c>
      <c r="CI8" s="21" t="s">
        <v>67</v>
      </c>
      <c r="CJ8" s="16">
        <v>1181.92</v>
      </c>
      <c r="CK8" s="16" t="s">
        <v>82</v>
      </c>
      <c r="CL8" s="16">
        <v>896.02</v>
      </c>
      <c r="CM8" s="1">
        <v>65</v>
      </c>
      <c r="CN8" s="1">
        <v>1.4</v>
      </c>
      <c r="CO8" s="1">
        <v>127603</v>
      </c>
      <c r="CP8" s="15">
        <f t="shared" si="41"/>
        <v>0.767324269912005</v>
      </c>
      <c r="CQ8" s="15">
        <f t="shared" si="42"/>
        <v>2104.56</v>
      </c>
    </row>
    <row r="9" spans="1:95">
      <c r="A9" s="1" t="s">
        <v>68</v>
      </c>
      <c r="B9" s="1" t="s">
        <v>83</v>
      </c>
      <c r="C9" s="1" t="s">
        <v>84</v>
      </c>
      <c r="D9" s="1">
        <v>1726.42</v>
      </c>
      <c r="E9" s="1">
        <f t="shared" si="0"/>
        <v>56.28</v>
      </c>
      <c r="F9" s="1">
        <v>1782.7</v>
      </c>
      <c r="G9" s="1">
        <f t="shared" si="1"/>
        <v>70.9199999999998</v>
      </c>
      <c r="H9" s="1">
        <v>1853.62</v>
      </c>
      <c r="I9" s="1">
        <f t="shared" si="2"/>
        <v>49.5800000000002</v>
      </c>
      <c r="J9" s="1">
        <v>1903.2</v>
      </c>
      <c r="K9" s="1">
        <f t="shared" si="3"/>
        <v>40.4099999999999</v>
      </c>
      <c r="L9" s="1">
        <v>1943.61</v>
      </c>
      <c r="M9" s="1">
        <f t="shared" si="4"/>
        <v>30.01</v>
      </c>
      <c r="N9" s="1">
        <v>1973.62</v>
      </c>
      <c r="O9" s="1">
        <f t="shared" si="5"/>
        <v>83.2800000000002</v>
      </c>
      <c r="P9" s="1">
        <v>2056.9</v>
      </c>
      <c r="Q9" s="1">
        <f t="shared" si="6"/>
        <v>25.6399999999999</v>
      </c>
      <c r="R9" s="1">
        <v>2082.54</v>
      </c>
      <c r="S9" s="1">
        <f t="shared" si="7"/>
        <v>66.46</v>
      </c>
      <c r="T9" s="1">
        <v>2149</v>
      </c>
      <c r="U9" s="1">
        <f t="shared" si="8"/>
        <v>43.5599999999999</v>
      </c>
      <c r="V9" s="11">
        <v>2192.56</v>
      </c>
      <c r="W9" s="1">
        <f t="shared" si="9"/>
        <v>46.3200000000002</v>
      </c>
      <c r="X9" s="11">
        <v>2238.88</v>
      </c>
      <c r="Y9" s="1">
        <f t="shared" si="10"/>
        <v>17.23</v>
      </c>
      <c r="Z9" s="1">
        <v>2256.11</v>
      </c>
      <c r="AA9" s="1">
        <f t="shared" si="11"/>
        <v>97.5799999999999</v>
      </c>
      <c r="AB9" s="1">
        <v>2353.69</v>
      </c>
      <c r="AC9" s="1">
        <f t="shared" si="12"/>
        <v>58.8600000000001</v>
      </c>
      <c r="AD9" s="1">
        <v>2412.55</v>
      </c>
      <c r="AE9" s="16">
        <f t="shared" si="13"/>
        <v>33.52</v>
      </c>
      <c r="AF9" s="16">
        <v>2446.07</v>
      </c>
      <c r="AG9" s="16">
        <f t="shared" si="14"/>
        <v>77.4199999999996</v>
      </c>
      <c r="AH9" s="16">
        <v>2523.49</v>
      </c>
      <c r="AI9" s="16">
        <f t="shared" si="15"/>
        <v>44.5500000000002</v>
      </c>
      <c r="AJ9" s="16">
        <v>2568.04</v>
      </c>
      <c r="AK9" s="16">
        <f t="shared" si="16"/>
        <v>60.6700000000001</v>
      </c>
      <c r="AL9" s="16">
        <v>2628.71</v>
      </c>
      <c r="AM9" s="16">
        <f t="shared" si="17"/>
        <v>38.8600000000001</v>
      </c>
      <c r="AN9" s="16">
        <v>2667.57</v>
      </c>
      <c r="AO9" s="16">
        <f t="shared" si="18"/>
        <v>40.96</v>
      </c>
      <c r="AP9" s="16">
        <v>2708.53</v>
      </c>
      <c r="AQ9" s="16">
        <f t="shared" si="19"/>
        <v>53.2099999999996</v>
      </c>
      <c r="AR9" s="16">
        <v>2761.74</v>
      </c>
      <c r="AS9" s="16">
        <f t="shared" si="20"/>
        <v>44</v>
      </c>
      <c r="AT9" s="16">
        <v>2805.74</v>
      </c>
      <c r="AU9" s="21">
        <f t="shared" si="21"/>
        <v>57.5</v>
      </c>
      <c r="AV9" s="21">
        <v>2863.24</v>
      </c>
      <c r="AW9" s="27">
        <f t="shared" si="22"/>
        <v>54.4300000000003</v>
      </c>
      <c r="AX9" s="27">
        <v>2917.67</v>
      </c>
      <c r="AY9" s="27">
        <f t="shared" si="23"/>
        <v>56.3800000000001</v>
      </c>
      <c r="AZ9" s="27">
        <v>2974.05</v>
      </c>
      <c r="BA9" s="27">
        <f t="shared" si="24"/>
        <v>41.4399999999996</v>
      </c>
      <c r="BB9" s="27">
        <v>3015.49</v>
      </c>
      <c r="BC9" s="27">
        <f t="shared" si="25"/>
        <v>42.1400000000003</v>
      </c>
      <c r="BD9" s="27">
        <v>3057.63</v>
      </c>
      <c r="BE9" s="21">
        <f t="shared" si="26"/>
        <v>43.9899999999998</v>
      </c>
      <c r="BF9" s="27">
        <v>3101.62</v>
      </c>
      <c r="BG9" s="27">
        <f t="shared" si="27"/>
        <v>105.04</v>
      </c>
      <c r="BH9" s="27">
        <v>3206.66</v>
      </c>
      <c r="BI9" s="27">
        <f t="shared" si="28"/>
        <v>38.7800000000002</v>
      </c>
      <c r="BJ9" s="27">
        <v>3245.44</v>
      </c>
      <c r="BK9" s="27">
        <f t="shared" si="29"/>
        <v>30.5099999999998</v>
      </c>
      <c r="BL9" s="27">
        <v>3275.95</v>
      </c>
      <c r="BM9" s="27">
        <f t="shared" si="30"/>
        <v>44.8600000000001</v>
      </c>
      <c r="BN9" s="27">
        <v>3320.81</v>
      </c>
      <c r="BO9" s="27">
        <f t="shared" si="31"/>
        <v>59.8400000000001</v>
      </c>
      <c r="BP9" s="27">
        <v>3380.65</v>
      </c>
      <c r="BQ9" s="27">
        <f t="shared" si="32"/>
        <v>24.6300000000001</v>
      </c>
      <c r="BR9" s="27">
        <v>3405.28</v>
      </c>
      <c r="BS9" s="27">
        <f t="shared" si="33"/>
        <v>93.3399999999997</v>
      </c>
      <c r="BT9" s="27">
        <v>3498.62</v>
      </c>
      <c r="BU9" s="27">
        <f t="shared" si="34"/>
        <v>36.1300000000001</v>
      </c>
      <c r="BV9" s="27">
        <v>3534.75</v>
      </c>
      <c r="BW9" s="27">
        <f t="shared" si="35"/>
        <v>76.7600000000002</v>
      </c>
      <c r="BX9" s="27">
        <v>3611.51</v>
      </c>
      <c r="BY9" s="27">
        <f t="shared" si="36"/>
        <v>39.77</v>
      </c>
      <c r="BZ9" s="27">
        <v>3651.28</v>
      </c>
      <c r="CA9" s="27">
        <f t="shared" si="37"/>
        <v>37.25</v>
      </c>
      <c r="CB9" s="27">
        <v>3688.53</v>
      </c>
      <c r="CC9" s="27">
        <f t="shared" si="38"/>
        <v>79.0899999999997</v>
      </c>
      <c r="CD9" s="27">
        <v>3767.62</v>
      </c>
      <c r="CE9" s="27">
        <f t="shared" si="39"/>
        <v>46.3600000000001</v>
      </c>
      <c r="CF9" s="27">
        <v>3813.98</v>
      </c>
      <c r="CG9" s="26">
        <f t="shared" si="40"/>
        <v>88.1300000000001</v>
      </c>
      <c r="CH9" s="27">
        <v>3902.11</v>
      </c>
      <c r="CI9" s="21" t="s">
        <v>67</v>
      </c>
      <c r="CJ9" s="16">
        <v>1046.87</v>
      </c>
      <c r="CK9" s="16" t="s">
        <v>82</v>
      </c>
      <c r="CL9" s="16">
        <v>754.67</v>
      </c>
      <c r="CM9" s="1">
        <v>50</v>
      </c>
      <c r="CN9" s="1">
        <v>1.3</v>
      </c>
      <c r="CO9" s="1">
        <v>124763</v>
      </c>
      <c r="CP9" s="15">
        <f t="shared" si="41"/>
        <v>0.692975136528698</v>
      </c>
      <c r="CQ9" s="15">
        <f t="shared" si="42"/>
        <v>1654.23</v>
      </c>
    </row>
    <row r="10" spans="1:95">
      <c r="A10" s="1" t="s">
        <v>73</v>
      </c>
      <c r="B10" s="1" t="s">
        <v>85</v>
      </c>
      <c r="C10" s="1" t="s">
        <v>75</v>
      </c>
      <c r="D10" s="1">
        <v>1446.65</v>
      </c>
      <c r="E10" s="1">
        <f t="shared" si="0"/>
        <v>28.1799999999998</v>
      </c>
      <c r="F10" s="1">
        <v>1474.83</v>
      </c>
      <c r="G10" s="1">
        <f t="shared" si="1"/>
        <v>63.8200000000002</v>
      </c>
      <c r="H10" s="1">
        <v>1538.65</v>
      </c>
      <c r="I10" s="1">
        <f t="shared" si="2"/>
        <v>22.9199999999998</v>
      </c>
      <c r="J10" s="1">
        <v>1561.57</v>
      </c>
      <c r="K10" s="1">
        <f t="shared" si="3"/>
        <v>70.8600000000001</v>
      </c>
      <c r="L10" s="1">
        <v>1632.43</v>
      </c>
      <c r="M10" s="1">
        <f t="shared" si="4"/>
        <v>37.4099999999999</v>
      </c>
      <c r="N10" s="1">
        <v>1669.84</v>
      </c>
      <c r="O10" s="1">
        <f t="shared" si="5"/>
        <v>32.8300000000002</v>
      </c>
      <c r="P10" s="1">
        <v>1702.67</v>
      </c>
      <c r="Q10" s="1">
        <f t="shared" si="6"/>
        <v>51.9499999999998</v>
      </c>
      <c r="R10" s="1">
        <v>1754.62</v>
      </c>
      <c r="S10" s="1">
        <f t="shared" si="7"/>
        <v>40.1200000000001</v>
      </c>
      <c r="T10" s="1">
        <v>1794.74</v>
      </c>
      <c r="U10" s="1">
        <f t="shared" si="8"/>
        <v>77.5</v>
      </c>
      <c r="V10" s="11">
        <v>1872.24</v>
      </c>
      <c r="W10" s="1">
        <f t="shared" si="9"/>
        <v>79.5899999999999</v>
      </c>
      <c r="X10" s="11">
        <v>1951.83</v>
      </c>
      <c r="Y10" s="1">
        <f t="shared" si="10"/>
        <v>9.01999999999998</v>
      </c>
      <c r="Z10" s="1">
        <v>1960.85</v>
      </c>
      <c r="AA10" s="1">
        <f t="shared" si="11"/>
        <v>74</v>
      </c>
      <c r="AB10" s="1">
        <v>2034.85</v>
      </c>
      <c r="AC10" s="1">
        <f t="shared" si="12"/>
        <v>31.8000000000002</v>
      </c>
      <c r="AD10" s="1">
        <v>2066.65</v>
      </c>
      <c r="AE10" s="16">
        <f t="shared" si="13"/>
        <v>107.43</v>
      </c>
      <c r="AF10" s="16">
        <v>2174.08</v>
      </c>
      <c r="AG10" s="16">
        <f t="shared" si="14"/>
        <v>53.3499999999999</v>
      </c>
      <c r="AH10" s="16">
        <v>2227.43</v>
      </c>
      <c r="AI10" s="16">
        <f t="shared" si="15"/>
        <v>50.3300000000004</v>
      </c>
      <c r="AJ10" s="16">
        <v>2277.76</v>
      </c>
      <c r="AK10" s="16">
        <f t="shared" si="16"/>
        <v>58.7299999999996</v>
      </c>
      <c r="AL10" s="16">
        <v>2336.49</v>
      </c>
      <c r="AM10" s="16">
        <f t="shared" si="17"/>
        <v>77.9400000000001</v>
      </c>
      <c r="AN10" s="16">
        <v>2414.43</v>
      </c>
      <c r="AO10" s="16">
        <f t="shared" si="18"/>
        <v>88.73</v>
      </c>
      <c r="AP10" s="16">
        <v>2503.16</v>
      </c>
      <c r="AQ10" s="16">
        <f t="shared" si="19"/>
        <v>60.4900000000002</v>
      </c>
      <c r="AR10" s="16">
        <v>2563.65</v>
      </c>
      <c r="AS10" s="16">
        <f t="shared" si="20"/>
        <v>52.7799999999997</v>
      </c>
      <c r="AT10" s="16">
        <v>2616.43</v>
      </c>
      <c r="AU10" s="21">
        <f t="shared" si="21"/>
        <v>26.8600000000001</v>
      </c>
      <c r="AV10" s="21">
        <v>2643.29</v>
      </c>
      <c r="AW10" s="27">
        <f t="shared" si="22"/>
        <v>56.9099999999999</v>
      </c>
      <c r="AX10" s="27">
        <v>2700.2</v>
      </c>
      <c r="AY10" s="27">
        <f t="shared" si="23"/>
        <v>78.5900000000001</v>
      </c>
      <c r="AZ10" s="27">
        <v>2778.79</v>
      </c>
      <c r="BA10" s="27">
        <f t="shared" si="24"/>
        <v>43.0700000000002</v>
      </c>
      <c r="BB10" s="27">
        <v>2821.86</v>
      </c>
      <c r="BC10" s="27">
        <f t="shared" si="25"/>
        <v>34.5099999999998</v>
      </c>
      <c r="BD10" s="27">
        <v>2856.37</v>
      </c>
      <c r="BE10" s="21">
        <f t="shared" si="26"/>
        <v>34.5799999999999</v>
      </c>
      <c r="BF10" s="27">
        <v>2890.95</v>
      </c>
      <c r="BG10" s="27">
        <f t="shared" si="27"/>
        <v>31.1200000000003</v>
      </c>
      <c r="BH10" s="27">
        <v>2922.07</v>
      </c>
      <c r="BI10" s="27">
        <f t="shared" si="28"/>
        <v>60.27</v>
      </c>
      <c r="BJ10" s="27">
        <v>2982.34</v>
      </c>
      <c r="BK10" s="27">
        <f t="shared" si="29"/>
        <v>42.5599999999999</v>
      </c>
      <c r="BL10" s="27">
        <v>3024.9</v>
      </c>
      <c r="BM10" s="27">
        <f t="shared" si="30"/>
        <v>66.8499999999999</v>
      </c>
      <c r="BN10" s="27">
        <v>3091.75</v>
      </c>
      <c r="BO10" s="27">
        <f t="shared" si="31"/>
        <v>40.8899999999999</v>
      </c>
      <c r="BP10" s="27">
        <v>3132.64</v>
      </c>
      <c r="BQ10" s="27">
        <f t="shared" si="32"/>
        <v>57.7800000000002</v>
      </c>
      <c r="BR10" s="27">
        <v>3190.42</v>
      </c>
      <c r="BS10" s="27">
        <f t="shared" si="33"/>
        <v>40.6300000000001</v>
      </c>
      <c r="BT10" s="27">
        <v>3231.05</v>
      </c>
      <c r="BU10" s="27">
        <f t="shared" si="34"/>
        <v>68.3299999999999</v>
      </c>
      <c r="BV10" s="27">
        <v>3299.38</v>
      </c>
      <c r="BW10" s="27">
        <f t="shared" si="35"/>
        <v>67.9200000000001</v>
      </c>
      <c r="BX10" s="27">
        <v>3367.3</v>
      </c>
      <c r="BY10" s="27">
        <f t="shared" si="36"/>
        <v>52.96</v>
      </c>
      <c r="BZ10" s="27">
        <v>3420.26</v>
      </c>
      <c r="CA10" s="27">
        <f t="shared" si="37"/>
        <v>41.3299999999999</v>
      </c>
      <c r="CB10" s="27">
        <v>3461.59</v>
      </c>
      <c r="CC10" s="27">
        <f t="shared" si="38"/>
        <v>51.1399999999999</v>
      </c>
      <c r="CD10" s="27">
        <v>3512.73</v>
      </c>
      <c r="CE10" s="27">
        <f t="shared" si="39"/>
        <v>100.36</v>
      </c>
      <c r="CF10" s="27">
        <v>3613.09</v>
      </c>
      <c r="CG10" s="26">
        <f t="shared" si="40"/>
        <v>85.6299999999997</v>
      </c>
      <c r="CH10" s="27">
        <v>3698.72</v>
      </c>
      <c r="CI10" s="21" t="s">
        <v>67</v>
      </c>
      <c r="CJ10" s="16">
        <v>1409.72</v>
      </c>
      <c r="CK10" s="16" t="s">
        <v>82</v>
      </c>
      <c r="CL10" s="16">
        <v>1048.57</v>
      </c>
      <c r="CM10" s="2">
        <v>65</v>
      </c>
      <c r="CN10" s="2">
        <v>1.4</v>
      </c>
      <c r="CO10" s="2">
        <v>109333</v>
      </c>
      <c r="CP10" s="15">
        <f t="shared" si="41"/>
        <v>0.984477538175369</v>
      </c>
      <c r="CQ10" s="15">
        <f t="shared" si="42"/>
        <v>1685.99</v>
      </c>
    </row>
    <row r="11" spans="1:95">
      <c r="A11" s="1" t="s">
        <v>68</v>
      </c>
      <c r="B11" s="1" t="s">
        <v>86</v>
      </c>
      <c r="C11" s="1" t="s">
        <v>84</v>
      </c>
      <c r="D11" s="1">
        <v>1425.22</v>
      </c>
      <c r="E11" s="1">
        <f t="shared" si="0"/>
        <v>64.8599999999999</v>
      </c>
      <c r="F11" s="1">
        <v>1490.08</v>
      </c>
      <c r="G11" s="1">
        <f t="shared" si="1"/>
        <v>46</v>
      </c>
      <c r="H11" s="1">
        <v>1536.08</v>
      </c>
      <c r="I11" s="1">
        <f t="shared" si="2"/>
        <v>50.8500000000001</v>
      </c>
      <c r="J11" s="1">
        <v>1586.93</v>
      </c>
      <c r="K11" s="1">
        <f t="shared" si="3"/>
        <v>86.5599999999999</v>
      </c>
      <c r="L11" s="1">
        <v>1673.49</v>
      </c>
      <c r="M11" s="1">
        <f t="shared" si="4"/>
        <v>38.5599999999999</v>
      </c>
      <c r="N11" s="1">
        <v>1712.05</v>
      </c>
      <c r="O11" s="1">
        <f t="shared" si="5"/>
        <v>57.0900000000001</v>
      </c>
      <c r="P11" s="1">
        <v>1769.14</v>
      </c>
      <c r="Q11" s="1">
        <f t="shared" si="6"/>
        <v>50.8699999999999</v>
      </c>
      <c r="R11" s="1">
        <v>1820.01</v>
      </c>
      <c r="S11" s="1">
        <f t="shared" si="7"/>
        <v>94.4300000000001</v>
      </c>
      <c r="T11" s="1">
        <v>1914.44</v>
      </c>
      <c r="U11" s="1">
        <f t="shared" si="8"/>
        <v>31.51</v>
      </c>
      <c r="V11" s="11">
        <v>1945.95</v>
      </c>
      <c r="W11" s="1">
        <f t="shared" si="9"/>
        <v>92.5899999999999</v>
      </c>
      <c r="X11" s="11">
        <v>2038.54</v>
      </c>
      <c r="Y11" s="1">
        <f t="shared" si="10"/>
        <v>48.1399999999999</v>
      </c>
      <c r="Z11" s="1">
        <v>2086.68</v>
      </c>
      <c r="AA11" s="1">
        <f t="shared" si="11"/>
        <v>78.1300000000001</v>
      </c>
      <c r="AB11" s="1">
        <v>2164.81</v>
      </c>
      <c r="AC11" s="1">
        <f t="shared" si="12"/>
        <v>39.8400000000001</v>
      </c>
      <c r="AD11" s="1">
        <v>2204.65</v>
      </c>
      <c r="AE11" s="16">
        <f t="shared" si="13"/>
        <v>79.98</v>
      </c>
      <c r="AF11" s="16">
        <v>2284.63</v>
      </c>
      <c r="AG11" s="16">
        <f t="shared" si="14"/>
        <v>35.54</v>
      </c>
      <c r="AH11" s="16">
        <v>2320.17</v>
      </c>
      <c r="AI11" s="16">
        <f t="shared" si="15"/>
        <v>53.4000000000001</v>
      </c>
      <c r="AJ11" s="16">
        <v>2373.57</v>
      </c>
      <c r="AK11" s="16">
        <f t="shared" si="16"/>
        <v>36.6599999999999</v>
      </c>
      <c r="AL11" s="16">
        <v>2410.23</v>
      </c>
      <c r="AM11" s="16">
        <f t="shared" si="17"/>
        <v>51.25</v>
      </c>
      <c r="AN11" s="16">
        <v>2461.48</v>
      </c>
      <c r="AO11" s="16">
        <f t="shared" si="18"/>
        <v>66.4499999999998</v>
      </c>
      <c r="AP11" s="16">
        <v>2527.93</v>
      </c>
      <c r="AQ11" s="16">
        <f t="shared" si="19"/>
        <v>47.4900000000002</v>
      </c>
      <c r="AR11" s="16">
        <v>2575.42</v>
      </c>
      <c r="AS11" s="16">
        <f t="shared" si="20"/>
        <v>40.75</v>
      </c>
      <c r="AT11" s="16">
        <v>2616.17</v>
      </c>
      <c r="AU11" s="21">
        <f t="shared" si="21"/>
        <v>48.8499999999999</v>
      </c>
      <c r="AV11" s="21">
        <v>2665.02</v>
      </c>
      <c r="AW11" s="27">
        <f t="shared" si="22"/>
        <v>41.5999999999999</v>
      </c>
      <c r="AX11" s="27">
        <v>2706.62</v>
      </c>
      <c r="AY11" s="27">
        <f t="shared" si="23"/>
        <v>42.8900000000003</v>
      </c>
      <c r="AZ11" s="27">
        <v>2749.51</v>
      </c>
      <c r="BA11" s="27">
        <f t="shared" si="24"/>
        <v>35.6099999999997</v>
      </c>
      <c r="BB11" s="27">
        <v>2785.12</v>
      </c>
      <c r="BC11" s="27">
        <f t="shared" si="25"/>
        <v>30.4900000000002</v>
      </c>
      <c r="BD11" s="27">
        <v>2815.61</v>
      </c>
      <c r="BE11" s="21">
        <f t="shared" si="26"/>
        <v>72.29</v>
      </c>
      <c r="BF11" s="27">
        <v>2887.9</v>
      </c>
      <c r="BG11" s="27">
        <f t="shared" si="27"/>
        <v>44.9899999999998</v>
      </c>
      <c r="BH11" s="27">
        <v>2932.89</v>
      </c>
      <c r="BI11" s="27">
        <f t="shared" si="28"/>
        <v>72.2400000000002</v>
      </c>
      <c r="BJ11" s="27">
        <v>3005.13</v>
      </c>
      <c r="BK11" s="27">
        <f t="shared" si="29"/>
        <v>54.4699999999998</v>
      </c>
      <c r="BL11" s="27">
        <v>3059.6</v>
      </c>
      <c r="BM11" s="27">
        <f t="shared" si="30"/>
        <v>16.6700000000001</v>
      </c>
      <c r="BN11" s="27">
        <v>3076.27</v>
      </c>
      <c r="BO11" s="27">
        <f t="shared" si="31"/>
        <v>64.46</v>
      </c>
      <c r="BP11" s="27">
        <v>3140.73</v>
      </c>
      <c r="BQ11" s="27">
        <f t="shared" si="32"/>
        <v>68.6700000000001</v>
      </c>
      <c r="BR11" s="27">
        <v>3209.4</v>
      </c>
      <c r="BS11" s="27">
        <f t="shared" si="33"/>
        <v>59.4099999999999</v>
      </c>
      <c r="BT11" s="27">
        <v>3268.81</v>
      </c>
      <c r="BU11" s="27">
        <f t="shared" si="34"/>
        <v>44.3000000000002</v>
      </c>
      <c r="BV11" s="27">
        <v>3313.11</v>
      </c>
      <c r="BW11" s="27">
        <f t="shared" si="35"/>
        <v>32.3799999999997</v>
      </c>
      <c r="BX11" s="27">
        <v>3345.49</v>
      </c>
      <c r="BY11" s="27">
        <f t="shared" si="36"/>
        <v>44.1300000000001</v>
      </c>
      <c r="BZ11" s="27">
        <v>3389.62</v>
      </c>
      <c r="CA11" s="27">
        <f t="shared" si="37"/>
        <v>44.1100000000001</v>
      </c>
      <c r="CB11" s="27">
        <v>3433.73</v>
      </c>
      <c r="CC11" s="27">
        <f t="shared" si="38"/>
        <v>32.5599999999999</v>
      </c>
      <c r="CD11" s="27">
        <v>3466.29</v>
      </c>
      <c r="CE11" s="27">
        <f t="shared" si="39"/>
        <v>42.1199999999999</v>
      </c>
      <c r="CF11" s="27">
        <v>3508.41</v>
      </c>
      <c r="CG11" s="26">
        <f t="shared" si="40"/>
        <v>83.3000000000002</v>
      </c>
      <c r="CH11" s="27">
        <v>3591.71</v>
      </c>
      <c r="CI11" s="21" t="s">
        <v>87</v>
      </c>
      <c r="CJ11" s="16">
        <v>874.16</v>
      </c>
      <c r="CK11" s="16" t="s">
        <v>88</v>
      </c>
      <c r="CL11" s="16">
        <v>748.71</v>
      </c>
      <c r="CM11" s="2">
        <v>20</v>
      </c>
      <c r="CN11" s="2">
        <v>1.1</v>
      </c>
      <c r="CO11" s="2">
        <v>106867</v>
      </c>
      <c r="CP11" s="15">
        <f t="shared" si="41"/>
        <v>0.628657458425096</v>
      </c>
      <c r="CQ11" s="15">
        <f t="shared" si="42"/>
        <v>1715.51</v>
      </c>
    </row>
    <row r="12" spans="1:95">
      <c r="A12" s="1" t="s">
        <v>68</v>
      </c>
      <c r="B12" s="1" t="s">
        <v>89</v>
      </c>
      <c r="C12" s="1" t="s">
        <v>84</v>
      </c>
      <c r="D12" s="1">
        <v>1349.35</v>
      </c>
      <c r="E12" s="1">
        <f t="shared" si="0"/>
        <v>49.6200000000001</v>
      </c>
      <c r="F12" s="1">
        <v>1398.97</v>
      </c>
      <c r="G12" s="1">
        <f t="shared" si="1"/>
        <v>27.79</v>
      </c>
      <c r="H12" s="1">
        <v>1426.76</v>
      </c>
      <c r="I12" s="1">
        <f t="shared" si="2"/>
        <v>29.02</v>
      </c>
      <c r="J12" s="1">
        <v>1455.78</v>
      </c>
      <c r="K12" s="1">
        <f t="shared" si="3"/>
        <v>97.8800000000001</v>
      </c>
      <c r="L12" s="1">
        <v>1553.66</v>
      </c>
      <c r="M12" s="1">
        <f t="shared" si="4"/>
        <v>42.3599999999999</v>
      </c>
      <c r="N12" s="1">
        <v>1596.02</v>
      </c>
      <c r="O12" s="1">
        <f t="shared" si="5"/>
        <v>54.22</v>
      </c>
      <c r="P12" s="1">
        <v>1650.24</v>
      </c>
      <c r="Q12" s="1">
        <f t="shared" si="6"/>
        <v>35.5899999999999</v>
      </c>
      <c r="R12" s="1">
        <v>1685.83</v>
      </c>
      <c r="S12" s="1">
        <f t="shared" si="7"/>
        <v>68.1300000000001</v>
      </c>
      <c r="T12" s="1">
        <v>1753.96</v>
      </c>
      <c r="U12" s="1">
        <f t="shared" si="8"/>
        <v>58.5599999999999</v>
      </c>
      <c r="V12" s="11">
        <v>1812.52</v>
      </c>
      <c r="W12" s="1">
        <f t="shared" si="9"/>
        <v>67.21</v>
      </c>
      <c r="X12" s="11">
        <v>1879.73</v>
      </c>
      <c r="Y12" s="1">
        <f t="shared" si="10"/>
        <v>20.22</v>
      </c>
      <c r="Z12" s="1">
        <v>1899.95</v>
      </c>
      <c r="AA12" s="1">
        <f t="shared" si="11"/>
        <v>35.0999999999999</v>
      </c>
      <c r="AB12" s="1">
        <v>1935.05</v>
      </c>
      <c r="AC12" s="1">
        <f t="shared" si="12"/>
        <v>44.73</v>
      </c>
      <c r="AD12" s="1">
        <v>1979.78</v>
      </c>
      <c r="AE12" s="16">
        <f t="shared" si="13"/>
        <v>31.1700000000001</v>
      </c>
      <c r="AF12" s="16">
        <v>2010.95</v>
      </c>
      <c r="AG12" s="16">
        <f t="shared" si="14"/>
        <v>51.4100000000001</v>
      </c>
      <c r="AH12" s="16">
        <v>2062.36</v>
      </c>
      <c r="AI12" s="16">
        <f t="shared" si="15"/>
        <v>64.9899999999998</v>
      </c>
      <c r="AJ12" s="16">
        <v>2127.35</v>
      </c>
      <c r="AK12" s="16">
        <f t="shared" si="16"/>
        <v>21.6500000000001</v>
      </c>
      <c r="AL12" s="16">
        <v>2149</v>
      </c>
      <c r="AM12" s="16">
        <f t="shared" si="17"/>
        <v>29.3899999999999</v>
      </c>
      <c r="AN12" s="16">
        <v>2178.39</v>
      </c>
      <c r="AO12" s="16">
        <f t="shared" si="18"/>
        <v>28.6100000000001</v>
      </c>
      <c r="AP12" s="16">
        <v>2207</v>
      </c>
      <c r="AQ12" s="16">
        <f t="shared" si="19"/>
        <v>17.4099999999999</v>
      </c>
      <c r="AR12" s="16">
        <v>2224.41</v>
      </c>
      <c r="AS12" s="16">
        <f t="shared" si="20"/>
        <v>21.0700000000002</v>
      </c>
      <c r="AT12" s="16">
        <v>2245.48</v>
      </c>
      <c r="AU12" s="21">
        <f t="shared" si="21"/>
        <v>94.73</v>
      </c>
      <c r="AV12" s="21">
        <v>2340.21</v>
      </c>
      <c r="AW12" s="27">
        <f t="shared" si="22"/>
        <v>25.7199999999998</v>
      </c>
      <c r="AX12" s="27">
        <v>2365.93</v>
      </c>
      <c r="AY12" s="27">
        <f t="shared" si="23"/>
        <v>69.3800000000001</v>
      </c>
      <c r="AZ12" s="27">
        <v>2435.31</v>
      </c>
      <c r="BA12" s="27">
        <f t="shared" si="24"/>
        <v>48.79</v>
      </c>
      <c r="BB12" s="27">
        <v>2484.1</v>
      </c>
      <c r="BC12" s="27">
        <f t="shared" si="25"/>
        <v>4.57999999999993</v>
      </c>
      <c r="BD12" s="27">
        <v>2488.68</v>
      </c>
      <c r="BE12" s="21">
        <f t="shared" si="26"/>
        <v>42.2000000000003</v>
      </c>
      <c r="BF12" s="27">
        <v>2530.88</v>
      </c>
      <c r="BG12" s="27">
        <f t="shared" si="27"/>
        <v>24.9400000000001</v>
      </c>
      <c r="BH12" s="27">
        <v>2555.82</v>
      </c>
      <c r="BI12" s="27">
        <f t="shared" si="28"/>
        <v>52.77</v>
      </c>
      <c r="BJ12" s="27">
        <v>2608.59</v>
      </c>
      <c r="BK12" s="27">
        <f t="shared" si="29"/>
        <v>55.8799999999997</v>
      </c>
      <c r="BL12" s="27">
        <v>2664.47</v>
      </c>
      <c r="BM12" s="27">
        <f t="shared" si="30"/>
        <v>21.2000000000003</v>
      </c>
      <c r="BN12" s="27">
        <v>2685.67</v>
      </c>
      <c r="BO12" s="27">
        <f t="shared" si="31"/>
        <v>32.02</v>
      </c>
      <c r="BP12" s="27">
        <v>2717.69</v>
      </c>
      <c r="BQ12" s="27">
        <f t="shared" si="32"/>
        <v>24.5999999999999</v>
      </c>
      <c r="BR12" s="27">
        <v>2742.29</v>
      </c>
      <c r="BS12" s="27">
        <f t="shared" si="33"/>
        <v>14.79</v>
      </c>
      <c r="BT12" s="27">
        <v>2757.08</v>
      </c>
      <c r="BU12" s="27">
        <f t="shared" si="34"/>
        <v>70.6700000000001</v>
      </c>
      <c r="BV12" s="27">
        <v>2827.75</v>
      </c>
      <c r="BW12" s="27">
        <f t="shared" si="35"/>
        <v>56.4400000000001</v>
      </c>
      <c r="BX12" s="27">
        <v>2884.19</v>
      </c>
      <c r="BY12" s="27">
        <f t="shared" si="36"/>
        <v>33.4200000000001</v>
      </c>
      <c r="BZ12" s="27">
        <v>2917.61</v>
      </c>
      <c r="CA12" s="27">
        <f t="shared" si="37"/>
        <v>57.9000000000001</v>
      </c>
      <c r="CB12" s="27">
        <v>2975.51</v>
      </c>
      <c r="CC12" s="27">
        <f t="shared" si="38"/>
        <v>90.8599999999997</v>
      </c>
      <c r="CD12" s="27">
        <v>3066.37</v>
      </c>
      <c r="CE12" s="27">
        <f t="shared" si="39"/>
        <v>161.05</v>
      </c>
      <c r="CF12" s="27">
        <v>3227.42</v>
      </c>
      <c r="CG12" s="26">
        <f t="shared" si="40"/>
        <v>36.6700000000001</v>
      </c>
      <c r="CH12" s="27">
        <v>3264.09</v>
      </c>
      <c r="CI12" s="21" t="s">
        <v>87</v>
      </c>
      <c r="CJ12" s="16">
        <v>871</v>
      </c>
      <c r="CK12" s="17" t="s">
        <v>88</v>
      </c>
      <c r="CL12" s="17">
        <v>645.48</v>
      </c>
      <c r="CM12" s="2">
        <v>20</v>
      </c>
      <c r="CN12" s="2">
        <v>3.2</v>
      </c>
      <c r="CO12" s="2">
        <v>109106</v>
      </c>
      <c r="CP12" s="15">
        <f t="shared" si="41"/>
        <v>0.689255810961095</v>
      </c>
      <c r="CQ12" s="15">
        <f t="shared" si="42"/>
        <v>1368.34</v>
      </c>
    </row>
    <row r="13" spans="1:95">
      <c r="A13" s="1" t="s">
        <v>61</v>
      </c>
      <c r="B13" s="1" t="s">
        <v>90</v>
      </c>
      <c r="C13" s="1" t="s">
        <v>84</v>
      </c>
      <c r="D13" s="1">
        <v>1156.57</v>
      </c>
      <c r="E13" s="1">
        <f t="shared" si="0"/>
        <v>40.4400000000001</v>
      </c>
      <c r="F13" s="1">
        <v>1197.01</v>
      </c>
      <c r="G13" s="1">
        <f t="shared" si="1"/>
        <v>46.97</v>
      </c>
      <c r="H13" s="1">
        <v>1243.98</v>
      </c>
      <c r="I13" s="1">
        <f t="shared" si="2"/>
        <v>58.49</v>
      </c>
      <c r="J13" s="1">
        <v>1302.47</v>
      </c>
      <c r="K13" s="1">
        <f t="shared" si="3"/>
        <v>36.6399999999999</v>
      </c>
      <c r="L13" s="1">
        <v>1339.11</v>
      </c>
      <c r="M13" s="1">
        <f t="shared" si="4"/>
        <v>33.99</v>
      </c>
      <c r="N13" s="1">
        <v>1373.1</v>
      </c>
      <c r="O13" s="1">
        <f t="shared" si="5"/>
        <v>30.0600000000002</v>
      </c>
      <c r="P13" s="1">
        <v>1403.16</v>
      </c>
      <c r="Q13" s="1">
        <f t="shared" si="6"/>
        <v>47.3</v>
      </c>
      <c r="R13" s="1">
        <v>1450.46</v>
      </c>
      <c r="S13" s="1">
        <f t="shared" si="7"/>
        <v>46.8299999999999</v>
      </c>
      <c r="T13" s="1">
        <v>1497.29</v>
      </c>
      <c r="U13" s="1">
        <f t="shared" si="8"/>
        <v>58.6500000000001</v>
      </c>
      <c r="V13" s="11">
        <v>1555.94</v>
      </c>
      <c r="W13" s="1">
        <f t="shared" si="9"/>
        <v>70.3099999999999</v>
      </c>
      <c r="X13" s="11">
        <v>1626.25</v>
      </c>
      <c r="Y13" s="1">
        <f t="shared" si="10"/>
        <v>31.49</v>
      </c>
      <c r="Z13" s="1">
        <v>1657.74</v>
      </c>
      <c r="AA13" s="1">
        <f t="shared" si="11"/>
        <v>59.21</v>
      </c>
      <c r="AB13" s="1">
        <v>1716.95</v>
      </c>
      <c r="AC13" s="1">
        <f t="shared" si="12"/>
        <v>31.99</v>
      </c>
      <c r="AD13" s="1">
        <v>1748.94</v>
      </c>
      <c r="AE13" s="16">
        <f t="shared" si="13"/>
        <v>52.0999999999999</v>
      </c>
      <c r="AF13" s="16">
        <v>1801.04</v>
      </c>
      <c r="AG13" s="16">
        <f t="shared" si="14"/>
        <v>74.74</v>
      </c>
      <c r="AH13" s="16">
        <v>1875.78</v>
      </c>
      <c r="AI13" s="16">
        <f t="shared" si="15"/>
        <v>51.3700000000001</v>
      </c>
      <c r="AJ13" s="16">
        <v>1927.15</v>
      </c>
      <c r="AK13" s="16">
        <f t="shared" si="16"/>
        <v>58.48</v>
      </c>
      <c r="AL13" s="16">
        <v>1985.63</v>
      </c>
      <c r="AM13" s="16">
        <f t="shared" si="17"/>
        <v>31.6599999999999</v>
      </c>
      <c r="AN13" s="16">
        <v>2017.29</v>
      </c>
      <c r="AO13" s="16">
        <f t="shared" si="18"/>
        <v>53.0100000000002</v>
      </c>
      <c r="AP13" s="16">
        <v>2070.3</v>
      </c>
      <c r="AQ13" s="16">
        <f t="shared" si="19"/>
        <v>52.5</v>
      </c>
      <c r="AR13" s="16">
        <v>2122.8</v>
      </c>
      <c r="AS13" s="16">
        <f t="shared" si="20"/>
        <v>65.02</v>
      </c>
      <c r="AT13" s="16">
        <v>2187.82</v>
      </c>
      <c r="AU13" s="21">
        <f t="shared" si="21"/>
        <v>39.3199999999997</v>
      </c>
      <c r="AV13" s="21">
        <v>2227.14</v>
      </c>
      <c r="AW13" s="27">
        <f t="shared" si="22"/>
        <v>65.5799999999999</v>
      </c>
      <c r="AX13" s="27">
        <v>2292.72</v>
      </c>
      <c r="AY13" s="27">
        <f t="shared" si="23"/>
        <v>43.3800000000001</v>
      </c>
      <c r="AZ13" s="27">
        <v>2336.1</v>
      </c>
      <c r="BA13" s="27">
        <f t="shared" si="24"/>
        <v>56.0500000000002</v>
      </c>
      <c r="BB13" s="27">
        <v>2392.15</v>
      </c>
      <c r="BC13" s="27">
        <f t="shared" si="25"/>
        <v>36.2999999999997</v>
      </c>
      <c r="BD13" s="27">
        <v>2428.45</v>
      </c>
      <c r="BE13" s="21">
        <f t="shared" si="26"/>
        <v>49.8200000000002</v>
      </c>
      <c r="BF13" s="27">
        <v>2478.27</v>
      </c>
      <c r="BG13" s="27">
        <f t="shared" si="27"/>
        <v>65.7800000000002</v>
      </c>
      <c r="BH13" s="27">
        <v>2544.05</v>
      </c>
      <c r="BI13" s="27">
        <f t="shared" si="28"/>
        <v>16.29</v>
      </c>
      <c r="BJ13" s="27">
        <v>2560.34</v>
      </c>
      <c r="BK13" s="27">
        <f t="shared" si="29"/>
        <v>84.4099999999999</v>
      </c>
      <c r="BL13" s="27">
        <v>2644.75</v>
      </c>
      <c r="BM13" s="27">
        <f t="shared" si="30"/>
        <v>33.6599999999999</v>
      </c>
      <c r="BN13" s="27">
        <v>2678.41</v>
      </c>
      <c r="BO13" s="27">
        <f t="shared" si="31"/>
        <v>51.1500000000001</v>
      </c>
      <c r="BP13" s="27">
        <v>2729.56</v>
      </c>
      <c r="BQ13" s="27">
        <f t="shared" si="32"/>
        <v>50.8299999999999</v>
      </c>
      <c r="BR13" s="27">
        <v>2780.39</v>
      </c>
      <c r="BS13" s="27">
        <f t="shared" si="33"/>
        <v>33.9300000000003</v>
      </c>
      <c r="BT13" s="27">
        <v>2814.32</v>
      </c>
      <c r="BU13" s="27">
        <f t="shared" si="34"/>
        <v>43.9400000000001</v>
      </c>
      <c r="BV13" s="27">
        <v>2858.26</v>
      </c>
      <c r="BW13" s="27">
        <f t="shared" si="35"/>
        <v>47.4199999999996</v>
      </c>
      <c r="BX13" s="27">
        <v>2905.68</v>
      </c>
      <c r="BY13" s="27">
        <f t="shared" si="36"/>
        <v>51.02</v>
      </c>
      <c r="BZ13" s="27">
        <v>2956.7</v>
      </c>
      <c r="CA13" s="27">
        <f t="shared" si="37"/>
        <v>67.3400000000001</v>
      </c>
      <c r="CB13" s="27">
        <v>3024.04</v>
      </c>
      <c r="CC13" s="27">
        <f t="shared" si="38"/>
        <v>59.4200000000001</v>
      </c>
      <c r="CD13" s="27">
        <v>3083.46</v>
      </c>
      <c r="CE13" s="27">
        <f t="shared" si="39"/>
        <v>49.1900000000001</v>
      </c>
      <c r="CF13" s="27">
        <v>3132.65</v>
      </c>
      <c r="CG13" s="26">
        <f t="shared" si="40"/>
        <v>46.54</v>
      </c>
      <c r="CH13" s="27">
        <v>3179.19</v>
      </c>
      <c r="CI13" s="21" t="s">
        <v>91</v>
      </c>
      <c r="CJ13" s="16">
        <v>897.37</v>
      </c>
      <c r="CK13" s="17" t="s">
        <v>71</v>
      </c>
      <c r="CL13" s="17">
        <v>614.12</v>
      </c>
      <c r="CM13" s="2">
        <v>25</v>
      </c>
      <c r="CN13" s="2">
        <v>3</v>
      </c>
      <c r="CO13" s="2">
        <v>100457</v>
      </c>
      <c r="CP13" s="15">
        <f t="shared" si="41"/>
        <v>0.729087192020609</v>
      </c>
      <c r="CQ13" s="15">
        <f t="shared" si="42"/>
        <v>1572.99</v>
      </c>
    </row>
    <row r="14" spans="1:95">
      <c r="A14" s="2" t="s">
        <v>92</v>
      </c>
      <c r="B14" s="2" t="s">
        <v>93</v>
      </c>
      <c r="C14" s="2" t="s">
        <v>84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 t="shared" si="20"/>
        <v>0</v>
      </c>
      <c r="AT14" s="17">
        <v>2239.6</v>
      </c>
      <c r="AU14" s="22">
        <f t="shared" si="21"/>
        <v>17.6399999999999</v>
      </c>
      <c r="AV14" s="22">
        <v>2257.24</v>
      </c>
      <c r="AW14" s="23">
        <f t="shared" si="22"/>
        <v>66.0900000000001</v>
      </c>
      <c r="AX14" s="23">
        <v>2323.33</v>
      </c>
      <c r="AY14" s="23">
        <f t="shared" si="23"/>
        <v>15.3099999999999</v>
      </c>
      <c r="AZ14" s="23">
        <v>2338.64</v>
      </c>
      <c r="BA14" s="23">
        <f t="shared" si="24"/>
        <v>34.4100000000003</v>
      </c>
      <c r="BB14" s="23">
        <v>2373.05</v>
      </c>
      <c r="BC14" s="23">
        <f t="shared" si="25"/>
        <v>53.6499999999996</v>
      </c>
      <c r="BD14" s="23">
        <v>2426.7</v>
      </c>
      <c r="BE14" s="22">
        <f t="shared" si="26"/>
        <v>30.3900000000003</v>
      </c>
      <c r="BF14" s="23">
        <v>2457.09</v>
      </c>
      <c r="BG14" s="23">
        <f t="shared" si="27"/>
        <v>45.9099999999999</v>
      </c>
      <c r="BH14" s="23">
        <v>2503</v>
      </c>
      <c r="BI14" s="23">
        <f t="shared" si="28"/>
        <v>21.23</v>
      </c>
      <c r="BJ14" s="23">
        <v>2524.23</v>
      </c>
      <c r="BK14" s="23">
        <f t="shared" si="29"/>
        <v>48.6999999999998</v>
      </c>
      <c r="BL14" s="23">
        <v>2572.93</v>
      </c>
      <c r="BM14" s="23">
        <f t="shared" si="30"/>
        <v>13.2600000000002</v>
      </c>
      <c r="BN14" s="23">
        <v>2586.19</v>
      </c>
      <c r="BO14" s="23">
        <f t="shared" si="31"/>
        <v>48.54</v>
      </c>
      <c r="BP14" s="23">
        <v>2634.73</v>
      </c>
      <c r="BQ14" s="23">
        <f t="shared" si="32"/>
        <v>12.6300000000001</v>
      </c>
      <c r="BR14" s="23">
        <v>2647.36</v>
      </c>
      <c r="BS14" s="23">
        <f t="shared" si="33"/>
        <v>17.8399999999997</v>
      </c>
      <c r="BT14" s="23">
        <v>2665.2</v>
      </c>
      <c r="BU14" s="23">
        <f t="shared" si="34"/>
        <v>22.5700000000002</v>
      </c>
      <c r="BV14" s="23">
        <v>2687.77</v>
      </c>
      <c r="BW14" s="23">
        <f t="shared" si="35"/>
        <v>16.1199999999999</v>
      </c>
      <c r="BX14" s="23">
        <v>2703.89</v>
      </c>
      <c r="BY14" s="23">
        <f t="shared" si="36"/>
        <v>8.09000000000015</v>
      </c>
      <c r="BZ14" s="23">
        <v>2711.98</v>
      </c>
      <c r="CA14" s="23">
        <f t="shared" si="37"/>
        <v>19.6500000000001</v>
      </c>
      <c r="CB14" s="23">
        <v>2731.63</v>
      </c>
      <c r="CC14" s="23">
        <f t="shared" si="38"/>
        <v>15.1700000000001</v>
      </c>
      <c r="CD14" s="23">
        <v>2746.8</v>
      </c>
      <c r="CE14" s="23">
        <f t="shared" si="39"/>
        <v>23.1699999999996</v>
      </c>
      <c r="CF14" s="23">
        <v>2769.97</v>
      </c>
      <c r="CG14" s="26">
        <f t="shared" si="40"/>
        <v>20.6500000000001</v>
      </c>
      <c r="CH14" s="23">
        <v>2790.62</v>
      </c>
      <c r="CI14" s="22" t="s">
        <v>87</v>
      </c>
      <c r="CJ14" s="17">
        <v>663.17</v>
      </c>
      <c r="CK14" s="17" t="s">
        <v>88</v>
      </c>
      <c r="CL14" s="17">
        <v>490.62</v>
      </c>
      <c r="CM14" s="2"/>
      <c r="CN14" s="2"/>
      <c r="CO14" s="2"/>
      <c r="CP14" s="15">
        <f t="shared" si="41"/>
        <v>0.613830657703306</v>
      </c>
      <c r="CQ14" s="15">
        <f t="shared" si="42"/>
        <v>2634.73</v>
      </c>
    </row>
    <row r="15" spans="1:95">
      <c r="A15" s="2" t="s">
        <v>94</v>
      </c>
      <c r="B15" s="2" t="s">
        <v>95</v>
      </c>
      <c r="C15" s="2" t="s">
        <v>84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 t="shared" si="20"/>
        <v>52.1700000000001</v>
      </c>
      <c r="AT15" s="17">
        <v>1863.64</v>
      </c>
      <c r="AU15" s="22">
        <f t="shared" si="21"/>
        <v>37.7199999999998</v>
      </c>
      <c r="AV15" s="22">
        <v>1901.36</v>
      </c>
      <c r="AW15" s="23">
        <f t="shared" si="22"/>
        <v>33.4300000000001</v>
      </c>
      <c r="AX15" s="23">
        <v>1934.79</v>
      </c>
      <c r="AY15" s="23">
        <f t="shared" si="23"/>
        <v>20.3199999999999</v>
      </c>
      <c r="AZ15" s="23">
        <v>1955.11</v>
      </c>
      <c r="BA15" s="23">
        <f t="shared" si="24"/>
        <v>28.1200000000001</v>
      </c>
      <c r="BB15" s="23">
        <v>1983.23</v>
      </c>
      <c r="BC15" s="23">
        <f t="shared" si="25"/>
        <v>21.6700000000001</v>
      </c>
      <c r="BD15" s="23">
        <v>2004.9</v>
      </c>
      <c r="BE15" s="22">
        <f t="shared" si="26"/>
        <v>57.4699999999998</v>
      </c>
      <c r="BF15" s="23">
        <v>2062.37</v>
      </c>
      <c r="BG15" s="23">
        <f t="shared" si="27"/>
        <v>33.2200000000003</v>
      </c>
      <c r="BH15" s="23">
        <v>2095.59</v>
      </c>
      <c r="BI15" s="23">
        <f t="shared" si="28"/>
        <v>59.25</v>
      </c>
      <c r="BJ15" s="23">
        <v>2154.84</v>
      </c>
      <c r="BK15" s="23">
        <f t="shared" si="29"/>
        <v>70.2599999999998</v>
      </c>
      <c r="BL15" s="23">
        <v>2225.1</v>
      </c>
      <c r="BM15" s="23">
        <f t="shared" si="30"/>
        <v>139.75</v>
      </c>
      <c r="BN15" s="23">
        <v>2364.85</v>
      </c>
      <c r="BO15" s="23">
        <f t="shared" si="31"/>
        <v>35.1900000000001</v>
      </c>
      <c r="BP15" s="23">
        <v>2400.04</v>
      </c>
      <c r="BQ15" s="23">
        <f t="shared" si="32"/>
        <v>38.2600000000002</v>
      </c>
      <c r="BR15" s="23">
        <v>2438.3</v>
      </c>
      <c r="BS15" s="23">
        <f t="shared" si="33"/>
        <v>42.98</v>
      </c>
      <c r="BT15" s="23">
        <v>2481.28</v>
      </c>
      <c r="BU15" s="23">
        <f t="shared" si="34"/>
        <v>33.7399999999998</v>
      </c>
      <c r="BV15" s="23">
        <v>2515.02</v>
      </c>
      <c r="BW15" s="23">
        <f t="shared" si="35"/>
        <v>14.29</v>
      </c>
      <c r="BX15" s="23">
        <v>2529.31</v>
      </c>
      <c r="BY15" s="23">
        <f t="shared" si="36"/>
        <v>39.4500000000003</v>
      </c>
      <c r="BZ15" s="23">
        <v>2568.76</v>
      </c>
      <c r="CA15" s="23">
        <f t="shared" si="37"/>
        <v>59.2299999999996</v>
      </c>
      <c r="CB15" s="23">
        <v>2627.99</v>
      </c>
      <c r="CC15" s="23">
        <f t="shared" si="38"/>
        <v>30.2800000000002</v>
      </c>
      <c r="CD15" s="23">
        <v>2658.27</v>
      </c>
      <c r="CE15" s="23">
        <f t="shared" si="39"/>
        <v>18.6500000000001</v>
      </c>
      <c r="CF15" s="23">
        <v>2676.92</v>
      </c>
      <c r="CG15" s="26">
        <f t="shared" si="40"/>
        <v>29.1300000000001</v>
      </c>
      <c r="CH15" s="23">
        <v>2706.05</v>
      </c>
      <c r="CI15" s="22" t="s">
        <v>67</v>
      </c>
      <c r="CJ15" s="17">
        <v>1047.52</v>
      </c>
      <c r="CK15" s="17" t="s">
        <v>82</v>
      </c>
      <c r="CL15" s="17">
        <v>758.25</v>
      </c>
      <c r="CM15" s="2">
        <v>30</v>
      </c>
      <c r="CN15" s="2">
        <v>1</v>
      </c>
      <c r="CO15" s="2">
        <v>105419</v>
      </c>
      <c r="CP15" s="15">
        <f t="shared" si="41"/>
        <v>0.99988697917629</v>
      </c>
      <c r="CQ15" s="15">
        <f t="shared" si="42"/>
        <v>1446.26</v>
      </c>
    </row>
    <row r="16" spans="1:95">
      <c r="A16" s="2" t="s">
        <v>61</v>
      </c>
      <c r="B16" s="2" t="s">
        <v>96</v>
      </c>
      <c r="C16" s="2" t="s">
        <v>84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 t="shared" si="20"/>
        <v>34.8300000000002</v>
      </c>
      <c r="AT16" s="17">
        <v>1742.89</v>
      </c>
      <c r="AU16" s="22">
        <f t="shared" si="21"/>
        <v>57.8399999999999</v>
      </c>
      <c r="AV16" s="22">
        <v>1800.73</v>
      </c>
      <c r="AW16" s="23">
        <f t="shared" si="22"/>
        <v>59.8799999999999</v>
      </c>
      <c r="AX16" s="23">
        <v>1860.61</v>
      </c>
      <c r="AY16" s="23">
        <f t="shared" si="23"/>
        <v>61.5600000000002</v>
      </c>
      <c r="AZ16" s="23">
        <v>1922.17</v>
      </c>
      <c r="BA16" s="23">
        <f t="shared" si="24"/>
        <v>52.5899999999999</v>
      </c>
      <c r="BB16" s="23">
        <v>1974.76</v>
      </c>
      <c r="BC16" s="23">
        <f t="shared" si="25"/>
        <v>32.25</v>
      </c>
      <c r="BD16" s="23">
        <v>2007.01</v>
      </c>
      <c r="BE16" s="22">
        <f t="shared" si="26"/>
        <v>39.1600000000001</v>
      </c>
      <c r="BF16" s="23">
        <v>2046.17</v>
      </c>
      <c r="BG16" s="23">
        <f t="shared" si="27"/>
        <v>39.8400000000001</v>
      </c>
      <c r="BH16" s="23">
        <v>2086.01</v>
      </c>
      <c r="BI16" s="23">
        <f t="shared" si="28"/>
        <v>21.3799999999997</v>
      </c>
      <c r="BJ16" s="23">
        <v>2107.39</v>
      </c>
      <c r="BK16" s="23">
        <f t="shared" si="29"/>
        <v>68.5799999999999</v>
      </c>
      <c r="BL16" s="23">
        <v>2175.97</v>
      </c>
      <c r="BM16" s="23">
        <f t="shared" si="30"/>
        <v>68.1600000000003</v>
      </c>
      <c r="BN16" s="23">
        <v>2244.13</v>
      </c>
      <c r="BO16" s="23">
        <f t="shared" si="31"/>
        <v>25.4200000000001</v>
      </c>
      <c r="BP16" s="23">
        <v>2269.55</v>
      </c>
      <c r="BQ16" s="23">
        <f t="shared" si="32"/>
        <v>47.4499999999998</v>
      </c>
      <c r="BR16" s="23">
        <v>2317</v>
      </c>
      <c r="BS16" s="23">
        <f t="shared" si="33"/>
        <v>20.5900000000001</v>
      </c>
      <c r="BT16" s="23">
        <v>2337.59</v>
      </c>
      <c r="BU16" s="23">
        <f t="shared" si="34"/>
        <v>64.6099999999997</v>
      </c>
      <c r="BV16" s="23">
        <v>2402.2</v>
      </c>
      <c r="BW16" s="23">
        <f t="shared" si="35"/>
        <v>44.4000000000001</v>
      </c>
      <c r="BX16" s="23">
        <v>2446.6</v>
      </c>
      <c r="BY16" s="23">
        <f t="shared" si="36"/>
        <v>24.4000000000001</v>
      </c>
      <c r="BZ16" s="23">
        <v>2471</v>
      </c>
      <c r="CA16" s="23">
        <f t="shared" si="37"/>
        <v>38.5700000000002</v>
      </c>
      <c r="CB16" s="23">
        <v>2509.57</v>
      </c>
      <c r="CC16" s="23">
        <f t="shared" si="38"/>
        <v>10.7799999999997</v>
      </c>
      <c r="CD16" s="23">
        <v>2520.35</v>
      </c>
      <c r="CE16" s="23">
        <f t="shared" si="39"/>
        <v>73.1700000000001</v>
      </c>
      <c r="CF16" s="23">
        <v>2593.52</v>
      </c>
      <c r="CG16" s="26">
        <f t="shared" si="40"/>
        <v>33.1199999999999</v>
      </c>
      <c r="CH16" s="23">
        <v>2626.64</v>
      </c>
      <c r="CI16" s="22" t="s">
        <v>97</v>
      </c>
      <c r="CJ16" s="17">
        <v>878.58</v>
      </c>
      <c r="CK16" s="17" t="s">
        <v>98</v>
      </c>
      <c r="CL16" s="17">
        <v>628.67</v>
      </c>
      <c r="CM16" s="2">
        <v>35</v>
      </c>
      <c r="CN16" s="2">
        <v>8.2</v>
      </c>
      <c r="CO16" s="2">
        <v>65285</v>
      </c>
      <c r="CP16" s="15">
        <f t="shared" si="41"/>
        <v>0.863982936374989</v>
      </c>
      <c r="CQ16" s="15">
        <f t="shared" si="42"/>
        <v>1361.61</v>
      </c>
    </row>
    <row r="17" spans="1:95">
      <c r="A17" s="2" t="s">
        <v>99</v>
      </c>
      <c r="B17" s="2" t="s">
        <v>100</v>
      </c>
      <c r="C17" s="2" t="s">
        <v>101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 t="shared" si="20"/>
        <v>20.53</v>
      </c>
      <c r="AT17" s="17">
        <v>1677.55</v>
      </c>
      <c r="AU17" s="22">
        <f t="shared" si="21"/>
        <v>42.72</v>
      </c>
      <c r="AV17" s="22">
        <v>1720.27</v>
      </c>
      <c r="AW17" s="23">
        <f t="shared" si="22"/>
        <v>26.77</v>
      </c>
      <c r="AX17" s="23">
        <v>1747.04</v>
      </c>
      <c r="AY17" s="23">
        <f t="shared" si="23"/>
        <v>25</v>
      </c>
      <c r="AZ17" s="23">
        <v>1772.04</v>
      </c>
      <c r="BA17" s="23">
        <f t="shared" si="24"/>
        <v>65.03</v>
      </c>
      <c r="BB17" s="23">
        <v>1837.07</v>
      </c>
      <c r="BC17" s="23">
        <f t="shared" si="25"/>
        <v>23.6700000000001</v>
      </c>
      <c r="BD17" s="23">
        <v>1860.74</v>
      </c>
      <c r="BE17" s="22">
        <f t="shared" si="26"/>
        <v>29.48</v>
      </c>
      <c r="BF17" s="23">
        <v>1890.22</v>
      </c>
      <c r="BG17" s="23">
        <f t="shared" si="27"/>
        <v>72.71</v>
      </c>
      <c r="BH17" s="23">
        <v>1962.93</v>
      </c>
      <c r="BI17" s="23">
        <f t="shared" si="28"/>
        <v>22.8799999999999</v>
      </c>
      <c r="BJ17" s="23">
        <v>1985.81</v>
      </c>
      <c r="BK17" s="23">
        <f t="shared" si="29"/>
        <v>56.8400000000001</v>
      </c>
      <c r="BL17" s="23">
        <v>2042.65</v>
      </c>
      <c r="BM17" s="23">
        <f t="shared" si="30"/>
        <v>27.0499999999997</v>
      </c>
      <c r="BN17" s="23">
        <v>2069.7</v>
      </c>
      <c r="BO17" s="23">
        <f t="shared" si="31"/>
        <v>23.5800000000004</v>
      </c>
      <c r="BP17" s="23">
        <v>2093.28</v>
      </c>
      <c r="BQ17" s="23">
        <f t="shared" si="32"/>
        <v>22.7599999999998</v>
      </c>
      <c r="BR17" s="23">
        <v>2116.04</v>
      </c>
      <c r="BS17" s="23">
        <f t="shared" si="33"/>
        <v>40.79</v>
      </c>
      <c r="BT17" s="23">
        <v>2156.83</v>
      </c>
      <c r="BU17" s="23">
        <f t="shared" si="34"/>
        <v>15.3400000000001</v>
      </c>
      <c r="BV17" s="23">
        <v>2172.17</v>
      </c>
      <c r="BW17" s="23">
        <f t="shared" si="35"/>
        <v>57.3400000000001</v>
      </c>
      <c r="BX17" s="23">
        <v>2229.51</v>
      </c>
      <c r="BY17" s="23">
        <f t="shared" si="36"/>
        <v>56.0299999999997</v>
      </c>
      <c r="BZ17" s="23">
        <v>2285.54</v>
      </c>
      <c r="CA17" s="23">
        <f t="shared" si="37"/>
        <v>64.71</v>
      </c>
      <c r="CB17" s="23">
        <v>2350.25</v>
      </c>
      <c r="CC17" s="23">
        <f t="shared" si="38"/>
        <v>42.1100000000001</v>
      </c>
      <c r="CD17" s="23">
        <v>2392.36</v>
      </c>
      <c r="CE17" s="23">
        <f t="shared" si="39"/>
        <v>41.21</v>
      </c>
      <c r="CF17" s="23">
        <v>2433.57</v>
      </c>
      <c r="CG17" s="26">
        <f t="shared" si="40"/>
        <v>33.3499999999999</v>
      </c>
      <c r="CH17" s="23">
        <v>2466.92</v>
      </c>
      <c r="CI17" s="22" t="s">
        <v>102</v>
      </c>
      <c r="CJ17" s="17">
        <v>880.57</v>
      </c>
      <c r="CK17" s="17" t="s">
        <v>103</v>
      </c>
      <c r="CL17" s="17">
        <v>704.28</v>
      </c>
      <c r="CM17" s="8">
        <v>10</v>
      </c>
      <c r="CN17" s="8">
        <v>2.2</v>
      </c>
      <c r="CO17" s="8">
        <v>86194</v>
      </c>
      <c r="CP17" s="15">
        <f t="shared" si="41"/>
        <v>0.922004892740746</v>
      </c>
      <c r="CQ17" s="15">
        <f t="shared" si="42"/>
        <v>1143.19</v>
      </c>
    </row>
    <row r="18" spans="1:95">
      <c r="A18" s="2" t="s">
        <v>68</v>
      </c>
      <c r="B18" s="2" t="s">
        <v>104</v>
      </c>
      <c r="C18" s="2" t="s">
        <v>84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 t="shared" si="20"/>
        <v>0</v>
      </c>
      <c r="AT18" s="17">
        <v>1644.57</v>
      </c>
      <c r="AU18" s="22">
        <f t="shared" si="21"/>
        <v>31.0700000000002</v>
      </c>
      <c r="AV18" s="22">
        <v>1675.64</v>
      </c>
      <c r="AW18" s="23">
        <f t="shared" si="22"/>
        <v>13.9599999999998</v>
      </c>
      <c r="AX18" s="23">
        <v>1689.6</v>
      </c>
      <c r="AY18" s="23">
        <f t="shared" si="23"/>
        <v>44.99</v>
      </c>
      <c r="AZ18" s="23">
        <v>1734.59</v>
      </c>
      <c r="BA18" s="23">
        <f t="shared" si="24"/>
        <v>31.1600000000001</v>
      </c>
      <c r="BB18" s="23">
        <v>1765.75</v>
      </c>
      <c r="BC18" s="23">
        <f t="shared" si="25"/>
        <v>39.9200000000001</v>
      </c>
      <c r="BD18" s="23">
        <v>1805.67</v>
      </c>
      <c r="BE18" s="22">
        <f t="shared" si="26"/>
        <v>42.21</v>
      </c>
      <c r="BF18" s="23">
        <v>1847.88</v>
      </c>
      <c r="BG18" s="23">
        <f t="shared" si="27"/>
        <v>86</v>
      </c>
      <c r="BH18" s="23">
        <v>1933.88</v>
      </c>
      <c r="BI18" s="23">
        <f t="shared" si="28"/>
        <v>21.8499999999999</v>
      </c>
      <c r="BJ18" s="23">
        <v>1955.73</v>
      </c>
      <c r="BK18" s="23">
        <f t="shared" si="29"/>
        <v>26.3099999999999</v>
      </c>
      <c r="BL18" s="23">
        <v>1982.04</v>
      </c>
      <c r="BM18" s="23">
        <f t="shared" si="30"/>
        <v>26.51</v>
      </c>
      <c r="BN18" s="23">
        <v>2008.55</v>
      </c>
      <c r="BO18" s="23">
        <f t="shared" si="31"/>
        <v>20.71</v>
      </c>
      <c r="BP18" s="23">
        <v>2029.26</v>
      </c>
      <c r="BQ18" s="23">
        <f t="shared" si="32"/>
        <v>63.0800000000002</v>
      </c>
      <c r="BR18" s="23">
        <v>2092.34</v>
      </c>
      <c r="BS18" s="23">
        <f t="shared" si="33"/>
        <v>4.29999999999973</v>
      </c>
      <c r="BT18" s="23">
        <v>2096.64</v>
      </c>
      <c r="BU18" s="23">
        <f t="shared" si="34"/>
        <v>0.720000000000255</v>
      </c>
      <c r="BV18" s="23">
        <v>2097.36</v>
      </c>
      <c r="BW18" s="23">
        <f t="shared" si="35"/>
        <v>0</v>
      </c>
      <c r="BX18" s="23">
        <v>2097.36</v>
      </c>
      <c r="BY18" s="23">
        <f t="shared" si="36"/>
        <v>0.0199999999999818</v>
      </c>
      <c r="BZ18" s="23">
        <v>2097.38</v>
      </c>
      <c r="CA18" s="23">
        <f t="shared" si="37"/>
        <v>30.5899999999997</v>
      </c>
      <c r="CB18" s="23">
        <v>2127.97</v>
      </c>
      <c r="CC18" s="23">
        <f t="shared" si="38"/>
        <v>62.5300000000002</v>
      </c>
      <c r="CD18" s="23">
        <v>2190.5</v>
      </c>
      <c r="CE18" s="23">
        <f t="shared" si="39"/>
        <v>49.0500000000002</v>
      </c>
      <c r="CF18" s="23">
        <v>2239.55</v>
      </c>
      <c r="CG18" s="26">
        <f t="shared" si="40"/>
        <v>52.2599999999998</v>
      </c>
      <c r="CH18" s="23">
        <v>2291.81</v>
      </c>
      <c r="CI18" s="22" t="s">
        <v>88</v>
      </c>
      <c r="CJ18" s="17">
        <v>441.31</v>
      </c>
      <c r="CK18" s="17" t="s">
        <v>88</v>
      </c>
      <c r="CL18" s="17">
        <v>367.24</v>
      </c>
      <c r="CM18" s="8"/>
      <c r="CN18" s="8"/>
      <c r="CO18" s="8"/>
      <c r="CP18" s="15">
        <f t="shared" si="41"/>
        <v>0.49738142777979</v>
      </c>
      <c r="CQ18" s="15">
        <f t="shared" si="42"/>
        <v>2029.26</v>
      </c>
    </row>
    <row r="19" spans="1:95">
      <c r="A19" s="2" t="s">
        <v>94</v>
      </c>
      <c r="B19" s="2" t="s">
        <v>105</v>
      </c>
      <c r="C19" s="2" t="s">
        <v>106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2">
        <v>1169.12</v>
      </c>
      <c r="W19" s="2">
        <f>X19-V19</f>
        <v>32.7600000000002</v>
      </c>
      <c r="X19" s="12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17">
        <f>AF19-AD19</f>
        <v>34.0999999999999</v>
      </c>
      <c r="AF19" s="17">
        <v>1307.52</v>
      </c>
      <c r="AG19" s="17">
        <f>AH19-AF19</f>
        <v>40.6600000000001</v>
      </c>
      <c r="AH19" s="17">
        <v>1348.18</v>
      </c>
      <c r="AI19" s="17">
        <f>AJ19-AH19</f>
        <v>31.0699999999999</v>
      </c>
      <c r="AJ19" s="17">
        <v>1379.25</v>
      </c>
      <c r="AK19" s="17">
        <f>AL19-AJ19</f>
        <v>30.6700000000001</v>
      </c>
      <c r="AL19" s="17">
        <v>1409.92</v>
      </c>
      <c r="AM19" s="17">
        <f>AN19-AL19</f>
        <v>17.21</v>
      </c>
      <c r="AN19" s="17">
        <v>1427.13</v>
      </c>
      <c r="AO19" s="17">
        <f>AP19-AN19</f>
        <v>20.4799999999998</v>
      </c>
      <c r="AP19" s="17">
        <v>1447.61</v>
      </c>
      <c r="AQ19" s="17">
        <f>AR19-AP19</f>
        <v>23.5400000000002</v>
      </c>
      <c r="AR19" s="17">
        <v>1471.15</v>
      </c>
      <c r="AS19" s="17">
        <f t="shared" si="20"/>
        <v>24.76</v>
      </c>
      <c r="AT19" s="17">
        <v>1495.91</v>
      </c>
      <c r="AU19" s="22">
        <f t="shared" si="21"/>
        <v>24.6599999999999</v>
      </c>
      <c r="AV19" s="22">
        <v>1520.57</v>
      </c>
      <c r="AW19" s="23">
        <f t="shared" si="22"/>
        <v>53.1500000000001</v>
      </c>
      <c r="AX19" s="23">
        <v>1573.72</v>
      </c>
      <c r="AY19" s="23">
        <f t="shared" si="23"/>
        <v>18.8</v>
      </c>
      <c r="AZ19" s="23">
        <v>1592.52</v>
      </c>
      <c r="BA19" s="23">
        <f t="shared" si="24"/>
        <v>44.6200000000001</v>
      </c>
      <c r="BB19" s="23">
        <v>1637.14</v>
      </c>
      <c r="BC19" s="23">
        <f t="shared" si="25"/>
        <v>13.6199999999999</v>
      </c>
      <c r="BD19" s="23">
        <v>1650.76</v>
      </c>
      <c r="BE19" s="22">
        <f t="shared" si="26"/>
        <v>25.55</v>
      </c>
      <c r="BF19" s="23">
        <v>1676.31</v>
      </c>
      <c r="BG19" s="23">
        <f t="shared" si="27"/>
        <v>80.8099999999999</v>
      </c>
      <c r="BH19" s="23">
        <v>1757.12</v>
      </c>
      <c r="BI19" s="23">
        <f t="shared" si="28"/>
        <v>28.3500000000001</v>
      </c>
      <c r="BJ19" s="23">
        <v>1785.47</v>
      </c>
      <c r="BK19" s="23">
        <f t="shared" si="29"/>
        <v>40.04</v>
      </c>
      <c r="BL19" s="23">
        <v>1825.51</v>
      </c>
      <c r="BM19" s="23">
        <f t="shared" si="30"/>
        <v>18</v>
      </c>
      <c r="BN19" s="23">
        <v>1843.51</v>
      </c>
      <c r="BO19" s="23">
        <f t="shared" si="31"/>
        <v>25.6200000000001</v>
      </c>
      <c r="BP19" s="23">
        <v>1869.13</v>
      </c>
      <c r="BQ19" s="23">
        <f t="shared" si="32"/>
        <v>20.27</v>
      </c>
      <c r="BR19" s="23">
        <v>1889.4</v>
      </c>
      <c r="BS19" s="23">
        <f t="shared" si="33"/>
        <v>52.5999999999999</v>
      </c>
      <c r="BT19" s="23">
        <v>1942</v>
      </c>
      <c r="BU19" s="23">
        <f t="shared" si="34"/>
        <v>37.49</v>
      </c>
      <c r="BV19" s="23">
        <v>1979.49</v>
      </c>
      <c r="BW19" s="23">
        <f t="shared" si="35"/>
        <v>50.1500000000001</v>
      </c>
      <c r="BX19" s="23">
        <v>2029.64</v>
      </c>
      <c r="BY19" s="23">
        <f t="shared" si="36"/>
        <v>23.4399999999998</v>
      </c>
      <c r="BZ19" s="23">
        <v>2053.08</v>
      </c>
      <c r="CA19" s="23">
        <f t="shared" si="37"/>
        <v>45.0999999999999</v>
      </c>
      <c r="CB19" s="23">
        <v>2098.18</v>
      </c>
      <c r="CC19" s="23">
        <f t="shared" si="38"/>
        <v>23.8000000000002</v>
      </c>
      <c r="CD19" s="23">
        <v>2121.98</v>
      </c>
      <c r="CE19" s="23">
        <f t="shared" si="39"/>
        <v>24.7800000000002</v>
      </c>
      <c r="CF19" s="23">
        <v>2146.76</v>
      </c>
      <c r="CG19" s="26">
        <f t="shared" si="40"/>
        <v>27.2999999999997</v>
      </c>
      <c r="CH19" s="23">
        <v>2174.06</v>
      </c>
      <c r="CI19" s="22" t="s">
        <v>88</v>
      </c>
      <c r="CJ19" s="17">
        <v>487.02</v>
      </c>
      <c r="CK19" s="18" t="s">
        <v>87</v>
      </c>
      <c r="CL19" s="18">
        <v>438.91</v>
      </c>
      <c r="CM19" s="8">
        <v>10</v>
      </c>
      <c r="CN19" s="8">
        <v>1.1</v>
      </c>
      <c r="CO19" s="8">
        <v>80664</v>
      </c>
      <c r="CP19" s="15">
        <f t="shared" si="41"/>
        <v>0.578628308326357</v>
      </c>
      <c r="CQ19" s="15">
        <f t="shared" si="42"/>
        <v>941.98</v>
      </c>
    </row>
    <row r="20" spans="1:95">
      <c r="A20" s="2" t="s">
        <v>99</v>
      </c>
      <c r="B20" s="2" t="s">
        <v>107</v>
      </c>
      <c r="C20" s="2" t="s">
        <v>84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17">
        <v>1429.42</v>
      </c>
      <c r="AS20" s="17">
        <f t="shared" si="20"/>
        <v>0</v>
      </c>
      <c r="AT20" s="17">
        <v>1429.42</v>
      </c>
      <c r="AU20" s="22">
        <f t="shared" si="21"/>
        <v>22.4199999999998</v>
      </c>
      <c r="AV20" s="22">
        <v>1451.84</v>
      </c>
      <c r="AW20" s="23">
        <f t="shared" si="22"/>
        <v>24.0600000000002</v>
      </c>
      <c r="AX20" s="23">
        <v>1475.9</v>
      </c>
      <c r="AY20" s="23">
        <f t="shared" si="23"/>
        <v>41.01</v>
      </c>
      <c r="AZ20" s="23">
        <v>1516.91</v>
      </c>
      <c r="BA20" s="23">
        <f t="shared" si="24"/>
        <v>25.5999999999999</v>
      </c>
      <c r="BB20" s="23">
        <v>1542.51</v>
      </c>
      <c r="BC20" s="23">
        <f t="shared" si="25"/>
        <v>35.6800000000001</v>
      </c>
      <c r="BD20" s="23">
        <v>1578.19</v>
      </c>
      <c r="BE20" s="22">
        <f t="shared" si="26"/>
        <v>-0.230000000000018</v>
      </c>
      <c r="BF20" s="23">
        <v>1577.96</v>
      </c>
      <c r="BG20" s="23">
        <f t="shared" si="27"/>
        <v>57.1099999999999</v>
      </c>
      <c r="BH20" s="23">
        <v>1635.07</v>
      </c>
      <c r="BI20" s="23">
        <f t="shared" si="28"/>
        <v>51.1700000000001</v>
      </c>
      <c r="BJ20" s="23">
        <v>1686.24</v>
      </c>
      <c r="BK20" s="23">
        <f t="shared" si="29"/>
        <v>29.0699999999999</v>
      </c>
      <c r="BL20" s="23">
        <v>1715.31</v>
      </c>
      <c r="BM20" s="23">
        <f t="shared" si="30"/>
        <v>22.1300000000001</v>
      </c>
      <c r="BN20" s="23">
        <v>1737.44</v>
      </c>
      <c r="BO20" s="23">
        <f t="shared" si="31"/>
        <v>39.3399999999999</v>
      </c>
      <c r="BP20" s="23">
        <v>1776.78</v>
      </c>
      <c r="BQ20" s="23">
        <f t="shared" si="32"/>
        <v>40.3900000000001</v>
      </c>
      <c r="BR20" s="23">
        <v>1817.17</v>
      </c>
      <c r="BS20" s="23">
        <f t="shared" si="33"/>
        <v>30.6799999999998</v>
      </c>
      <c r="BT20" s="23">
        <v>1847.85</v>
      </c>
      <c r="BU20" s="23">
        <f t="shared" si="34"/>
        <v>44.9100000000001</v>
      </c>
      <c r="BV20" s="23">
        <v>1892.76</v>
      </c>
      <c r="BW20" s="23">
        <f t="shared" si="35"/>
        <v>51.1400000000001</v>
      </c>
      <c r="BX20" s="23">
        <v>1943.9</v>
      </c>
      <c r="BY20" s="23">
        <f t="shared" si="36"/>
        <v>15.48</v>
      </c>
      <c r="BZ20" s="23">
        <v>1959.38</v>
      </c>
      <c r="CA20" s="23">
        <f t="shared" si="37"/>
        <v>-2.44000000000005</v>
      </c>
      <c r="CB20" s="23">
        <v>1956.94</v>
      </c>
      <c r="CC20" s="23">
        <f t="shared" si="38"/>
        <v>57.8299999999999</v>
      </c>
      <c r="CD20" s="23">
        <v>2014.77</v>
      </c>
      <c r="CE20" s="23">
        <f t="shared" si="39"/>
        <v>31.53</v>
      </c>
      <c r="CF20" s="23">
        <v>2046.3</v>
      </c>
      <c r="CG20" s="26">
        <f t="shared" si="40"/>
        <v>84.01</v>
      </c>
      <c r="CH20" s="23">
        <v>2130.31</v>
      </c>
      <c r="CI20" s="22" t="s">
        <v>103</v>
      </c>
      <c r="CJ20" s="17">
        <v>464.27</v>
      </c>
      <c r="CK20" s="18" t="s">
        <v>103</v>
      </c>
      <c r="CL20" s="18">
        <v>304.12</v>
      </c>
      <c r="CM20" s="8"/>
      <c r="CN20" s="8"/>
      <c r="CO20" s="8"/>
      <c r="CP20" s="15">
        <f t="shared" si="41"/>
        <v>0.562927184306509</v>
      </c>
      <c r="CQ20" s="15">
        <f t="shared" si="42"/>
        <v>1776.78</v>
      </c>
    </row>
    <row r="21" spans="1:95">
      <c r="A21" s="2" t="s">
        <v>99</v>
      </c>
      <c r="B21" s="2" t="s">
        <v>108</v>
      </c>
      <c r="C21" s="2" t="s">
        <v>106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1444.24</v>
      </c>
      <c r="AS21" s="17">
        <f t="shared" si="20"/>
        <v>0</v>
      </c>
      <c r="AT21" s="17">
        <v>1444.24</v>
      </c>
      <c r="AU21" s="22">
        <f t="shared" si="21"/>
        <v>35.5599999999999</v>
      </c>
      <c r="AV21" s="23">
        <v>1479.8</v>
      </c>
      <c r="AW21" s="23">
        <f t="shared" si="22"/>
        <v>30.3700000000001</v>
      </c>
      <c r="AX21" s="23">
        <v>1510.17</v>
      </c>
      <c r="AY21" s="23">
        <f t="shared" si="23"/>
        <v>21.47</v>
      </c>
      <c r="AZ21" s="23">
        <v>1531.64</v>
      </c>
      <c r="BA21" s="23">
        <f t="shared" si="24"/>
        <v>41.3899999999999</v>
      </c>
      <c r="BB21" s="23">
        <v>1573.03</v>
      </c>
      <c r="BC21" s="23">
        <f t="shared" si="25"/>
        <v>24.21</v>
      </c>
      <c r="BD21" s="23">
        <v>1597.24</v>
      </c>
      <c r="BE21" s="22">
        <f t="shared" si="26"/>
        <v>19.22</v>
      </c>
      <c r="BF21" s="23">
        <v>1616.46</v>
      </c>
      <c r="BG21" s="23">
        <f t="shared" si="27"/>
        <v>35.5599999999999</v>
      </c>
      <c r="BH21" s="23">
        <v>1652.02</v>
      </c>
      <c r="BI21" s="23">
        <f t="shared" si="28"/>
        <v>47.72</v>
      </c>
      <c r="BJ21" s="23">
        <v>1699.74</v>
      </c>
      <c r="BK21" s="23">
        <f t="shared" si="29"/>
        <v>34.0999999999999</v>
      </c>
      <c r="BL21" s="23">
        <v>1733.84</v>
      </c>
      <c r="BM21" s="23">
        <f t="shared" si="30"/>
        <v>41.5800000000002</v>
      </c>
      <c r="BN21" s="23">
        <v>1775.42</v>
      </c>
      <c r="BO21" s="23">
        <f t="shared" si="31"/>
        <v>41.6799999999998</v>
      </c>
      <c r="BP21" s="23">
        <v>1817.1</v>
      </c>
      <c r="BQ21" s="23">
        <f t="shared" si="32"/>
        <v>28.2900000000002</v>
      </c>
      <c r="BR21" s="23">
        <v>1845.39</v>
      </c>
      <c r="BS21" s="23">
        <f t="shared" si="33"/>
        <v>31.1699999999998</v>
      </c>
      <c r="BT21" s="23">
        <v>1876.56</v>
      </c>
      <c r="BU21" s="23">
        <f t="shared" si="34"/>
        <v>31.27</v>
      </c>
      <c r="BV21" s="23">
        <v>1907.83</v>
      </c>
      <c r="BW21" s="23">
        <f t="shared" si="35"/>
        <v>38.53</v>
      </c>
      <c r="BX21" s="23">
        <v>1946.36</v>
      </c>
      <c r="BY21" s="23">
        <f t="shared" si="36"/>
        <v>28.5400000000002</v>
      </c>
      <c r="BZ21" s="23">
        <v>1974.9</v>
      </c>
      <c r="CA21" s="23">
        <f t="shared" si="37"/>
        <v>15.3499999999999</v>
      </c>
      <c r="CB21" s="23">
        <v>1990.25</v>
      </c>
      <c r="CC21" s="23">
        <f t="shared" si="38"/>
        <v>65.8699999999999</v>
      </c>
      <c r="CD21" s="23">
        <v>2056.12</v>
      </c>
      <c r="CE21" s="23">
        <f t="shared" si="39"/>
        <v>22.29</v>
      </c>
      <c r="CF21" s="23">
        <v>2078.41</v>
      </c>
      <c r="CG21" s="26">
        <f t="shared" si="40"/>
        <v>42.4700000000003</v>
      </c>
      <c r="CH21" s="23">
        <v>2120.88</v>
      </c>
      <c r="CI21" s="22" t="s">
        <v>97</v>
      </c>
      <c r="CJ21" s="17">
        <v>383.86</v>
      </c>
      <c r="CK21" s="18" t="s">
        <v>88</v>
      </c>
      <c r="CL21" s="18">
        <v>303.44</v>
      </c>
      <c r="CM21" s="8"/>
      <c r="CN21" s="8"/>
      <c r="CO21" s="8"/>
      <c r="CP21" s="15">
        <f t="shared" si="41"/>
        <v>0.467499519067557</v>
      </c>
      <c r="CQ21" s="15">
        <f t="shared" si="42"/>
        <v>1817.1</v>
      </c>
    </row>
    <row r="22" spans="1:95">
      <c r="A22" s="2" t="s">
        <v>68</v>
      </c>
      <c r="B22" s="2" t="s">
        <v>109</v>
      </c>
      <c r="C22" s="2" t="s">
        <v>101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 t="shared" si="20"/>
        <v>17.1199999999999</v>
      </c>
      <c r="AT22" s="17">
        <v>1523.55</v>
      </c>
      <c r="AU22" s="22">
        <f t="shared" si="21"/>
        <v>52.4000000000001</v>
      </c>
      <c r="AV22" s="22">
        <v>1575.95</v>
      </c>
      <c r="AW22" s="23">
        <f t="shared" si="22"/>
        <v>22.8</v>
      </c>
      <c r="AX22" s="23">
        <v>1598.75</v>
      </c>
      <c r="AY22" s="23">
        <f t="shared" si="23"/>
        <v>41.49</v>
      </c>
      <c r="AZ22" s="23">
        <v>1640.24</v>
      </c>
      <c r="BA22" s="23">
        <f t="shared" si="24"/>
        <v>17.73</v>
      </c>
      <c r="BB22" s="23">
        <v>1657.97</v>
      </c>
      <c r="BC22" s="23">
        <f t="shared" si="25"/>
        <v>17.8899999999999</v>
      </c>
      <c r="BD22" s="23">
        <v>1675.86</v>
      </c>
      <c r="BE22" s="22">
        <f t="shared" si="26"/>
        <v>36.3500000000001</v>
      </c>
      <c r="BF22" s="23">
        <v>1712.21</v>
      </c>
      <c r="BG22" s="23">
        <f t="shared" si="27"/>
        <v>39.54</v>
      </c>
      <c r="BH22" s="23">
        <v>1751.75</v>
      </c>
      <c r="BI22" s="23">
        <f t="shared" si="28"/>
        <v>13.1800000000001</v>
      </c>
      <c r="BJ22" s="23">
        <v>1764.93</v>
      </c>
      <c r="BK22" s="23">
        <f t="shared" si="29"/>
        <v>13.76</v>
      </c>
      <c r="BL22" s="23">
        <v>1778.69</v>
      </c>
      <c r="BM22" s="23">
        <f t="shared" si="30"/>
        <v>13.1299999999999</v>
      </c>
      <c r="BN22" s="23">
        <v>1791.82</v>
      </c>
      <c r="BO22" s="23">
        <f t="shared" si="31"/>
        <v>24.24</v>
      </c>
      <c r="BP22" s="23">
        <v>1816.06</v>
      </c>
      <c r="BQ22" s="23">
        <f t="shared" si="32"/>
        <v>16.3</v>
      </c>
      <c r="BR22" s="23">
        <v>1832.36</v>
      </c>
      <c r="BS22" s="23">
        <f t="shared" si="33"/>
        <v>33.98</v>
      </c>
      <c r="BT22" s="23">
        <v>1866.34</v>
      </c>
      <c r="BU22" s="23">
        <f t="shared" si="34"/>
        <v>15.5600000000002</v>
      </c>
      <c r="BV22" s="23">
        <v>1881.9</v>
      </c>
      <c r="BW22" s="23">
        <f t="shared" si="35"/>
        <v>34.51</v>
      </c>
      <c r="BX22" s="23">
        <v>1916.41</v>
      </c>
      <c r="BY22" s="23">
        <f t="shared" si="36"/>
        <v>21.02</v>
      </c>
      <c r="BZ22" s="23">
        <v>1937.43</v>
      </c>
      <c r="CA22" s="23">
        <f t="shared" si="37"/>
        <v>34.8799999999999</v>
      </c>
      <c r="CB22" s="23">
        <v>1972.31</v>
      </c>
      <c r="CC22" s="23">
        <f t="shared" si="38"/>
        <v>30.26</v>
      </c>
      <c r="CD22" s="23">
        <v>2002.57</v>
      </c>
      <c r="CE22" s="23">
        <f t="shared" si="39"/>
        <v>22.74</v>
      </c>
      <c r="CF22" s="23">
        <v>2025.31</v>
      </c>
      <c r="CG22" s="26">
        <f t="shared" si="40"/>
        <v>47.1799999999998</v>
      </c>
      <c r="CH22" s="23">
        <v>2072.49</v>
      </c>
      <c r="CI22" s="22" t="s">
        <v>67</v>
      </c>
      <c r="CJ22" s="17">
        <v>853.97</v>
      </c>
      <c r="CK22" s="18" t="s">
        <v>82</v>
      </c>
      <c r="CL22" s="18">
        <v>556.77</v>
      </c>
      <c r="CM22" s="8">
        <v>30</v>
      </c>
      <c r="CN22" s="8">
        <v>3.2</v>
      </c>
      <c r="CO22" s="8">
        <v>78989</v>
      </c>
      <c r="CP22" s="15">
        <f t="shared" si="41"/>
        <v>1.06432576755497</v>
      </c>
      <c r="CQ22" s="15">
        <f t="shared" si="42"/>
        <v>967.13</v>
      </c>
    </row>
    <row r="23" spans="1:95">
      <c r="A23" s="8" t="s">
        <v>61</v>
      </c>
      <c r="B23" s="8" t="s">
        <v>110</v>
      </c>
      <c r="C23" s="8" t="s">
        <v>106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 t="shared" si="20"/>
        <v>33.97</v>
      </c>
      <c r="AT23" s="18">
        <v>837.44</v>
      </c>
      <c r="AU23" s="24">
        <f t="shared" si="21"/>
        <v>29.6999999999999</v>
      </c>
      <c r="AV23" s="24">
        <v>867.14</v>
      </c>
      <c r="AW23" s="28">
        <f t="shared" si="22"/>
        <v>21.75</v>
      </c>
      <c r="AX23" s="28">
        <v>888.89</v>
      </c>
      <c r="AY23" s="28">
        <f t="shared" si="23"/>
        <v>37.0600000000001</v>
      </c>
      <c r="AZ23" s="28">
        <v>925.95</v>
      </c>
      <c r="BA23" s="28">
        <f t="shared" si="24"/>
        <v>14.3</v>
      </c>
      <c r="BB23" s="28">
        <v>940.25</v>
      </c>
      <c r="BC23" s="28">
        <f t="shared" si="25"/>
        <v>12.04</v>
      </c>
      <c r="BD23" s="28">
        <v>952.29</v>
      </c>
      <c r="BE23" s="24">
        <f t="shared" si="26"/>
        <v>39.5300000000001</v>
      </c>
      <c r="BF23" s="28">
        <v>991.82</v>
      </c>
      <c r="BG23" s="28">
        <f t="shared" si="27"/>
        <v>38.2599999999999</v>
      </c>
      <c r="BH23" s="28">
        <v>1030.08</v>
      </c>
      <c r="BI23" s="28">
        <f t="shared" si="28"/>
        <v>35.53</v>
      </c>
      <c r="BJ23" s="28">
        <v>1065.61</v>
      </c>
      <c r="BK23" s="28">
        <f t="shared" si="29"/>
        <v>36.8300000000002</v>
      </c>
      <c r="BL23" s="28">
        <v>1102.44</v>
      </c>
      <c r="BM23" s="28">
        <f t="shared" si="30"/>
        <v>30.4199999999998</v>
      </c>
      <c r="BN23" s="28">
        <v>1132.86</v>
      </c>
      <c r="BO23" s="28">
        <f t="shared" si="31"/>
        <v>21.5400000000002</v>
      </c>
      <c r="BP23" s="28">
        <v>1154.4</v>
      </c>
      <c r="BQ23" s="28">
        <f t="shared" si="32"/>
        <v>41.52</v>
      </c>
      <c r="BR23" s="28">
        <v>1195.92</v>
      </c>
      <c r="BS23" s="28">
        <f t="shared" si="33"/>
        <v>10.8</v>
      </c>
      <c r="BT23" s="28">
        <v>1206.72</v>
      </c>
      <c r="BU23" s="28">
        <f t="shared" si="34"/>
        <v>13.96</v>
      </c>
      <c r="BV23" s="28">
        <v>1220.68</v>
      </c>
      <c r="BW23" s="28">
        <f t="shared" si="35"/>
        <v>10.74</v>
      </c>
      <c r="BX23" s="28">
        <v>1231.42</v>
      </c>
      <c r="BY23" s="28">
        <f t="shared" si="36"/>
        <v>28.03</v>
      </c>
      <c r="BZ23" s="28">
        <v>1259.45</v>
      </c>
      <c r="CA23" s="28">
        <f t="shared" si="37"/>
        <v>47.29</v>
      </c>
      <c r="CB23" s="28">
        <v>1306.74</v>
      </c>
      <c r="CC23" s="28">
        <f t="shared" si="38"/>
        <v>22.47</v>
      </c>
      <c r="CD23" s="28">
        <v>1329.21</v>
      </c>
      <c r="CE23" s="28">
        <f t="shared" si="39"/>
        <v>9.03999999999996</v>
      </c>
      <c r="CF23" s="28">
        <v>1338.25</v>
      </c>
      <c r="CG23" s="26">
        <f t="shared" si="40"/>
        <v>24.3599999999999</v>
      </c>
      <c r="CH23" s="28">
        <v>1362.61</v>
      </c>
      <c r="CI23" s="24" t="s">
        <v>88</v>
      </c>
      <c r="CJ23" s="18">
        <v>448.58</v>
      </c>
      <c r="CK23" s="18" t="s">
        <v>87</v>
      </c>
      <c r="CL23" s="18">
        <v>368.34</v>
      </c>
      <c r="CM23" s="8">
        <v>0</v>
      </c>
      <c r="CN23" s="8">
        <v>1</v>
      </c>
      <c r="CO23" s="8">
        <v>47256</v>
      </c>
      <c r="CP23" s="15">
        <f t="shared" si="41"/>
        <v>0.850340258768099</v>
      </c>
      <c r="CQ23" s="15">
        <f t="shared" si="42"/>
        <v>790.52</v>
      </c>
    </row>
    <row r="24" spans="1:95">
      <c r="A24" s="8" t="s">
        <v>68</v>
      </c>
      <c r="B24" s="8" t="s">
        <v>111</v>
      </c>
      <c r="C24" s="8" t="s">
        <v>106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 t="shared" si="20"/>
        <v>0</v>
      </c>
      <c r="AT24" s="18">
        <v>788.5</v>
      </c>
      <c r="AU24" s="24">
        <f t="shared" si="21"/>
        <v>20.29</v>
      </c>
      <c r="AV24" s="24">
        <v>808.79</v>
      </c>
      <c r="AW24" s="28">
        <f t="shared" si="22"/>
        <v>8.25999999999999</v>
      </c>
      <c r="AX24" s="28">
        <v>817.05</v>
      </c>
      <c r="AY24" s="28">
        <f t="shared" si="23"/>
        <v>15.9300000000001</v>
      </c>
      <c r="AZ24" s="28">
        <v>832.98</v>
      </c>
      <c r="BA24" s="28">
        <f t="shared" si="24"/>
        <v>25.21</v>
      </c>
      <c r="BB24" s="28">
        <v>858.19</v>
      </c>
      <c r="BC24" s="28">
        <f t="shared" si="25"/>
        <v>13.5699999999999</v>
      </c>
      <c r="BD24" s="28">
        <v>871.76</v>
      </c>
      <c r="BE24" s="24">
        <f t="shared" si="26"/>
        <v>30.02</v>
      </c>
      <c r="BF24" s="28">
        <v>901.78</v>
      </c>
      <c r="BG24" s="28">
        <f t="shared" si="27"/>
        <v>44.85</v>
      </c>
      <c r="BH24" s="28">
        <v>946.63</v>
      </c>
      <c r="BI24" s="28">
        <f t="shared" si="28"/>
        <v>31.9299999999999</v>
      </c>
      <c r="BJ24" s="28">
        <v>978.56</v>
      </c>
      <c r="BK24" s="28">
        <f t="shared" si="29"/>
        <v>13.87</v>
      </c>
      <c r="BL24" s="28">
        <v>992.43</v>
      </c>
      <c r="BM24" s="28">
        <f t="shared" si="30"/>
        <v>37.7300000000001</v>
      </c>
      <c r="BN24" s="28">
        <v>1030.16</v>
      </c>
      <c r="BO24" s="28">
        <f t="shared" si="31"/>
        <v>14.8899999999999</v>
      </c>
      <c r="BP24" s="28">
        <v>1045.05</v>
      </c>
      <c r="BQ24" s="28">
        <f t="shared" si="32"/>
        <v>16.22</v>
      </c>
      <c r="BR24" s="28">
        <v>1061.27</v>
      </c>
      <c r="BS24" s="28">
        <f t="shared" si="33"/>
        <v>22.3299999999999</v>
      </c>
      <c r="BT24" s="28">
        <v>1083.6</v>
      </c>
      <c r="BU24" s="28">
        <f t="shared" si="34"/>
        <v>14.6300000000001</v>
      </c>
      <c r="BV24" s="28">
        <v>1098.23</v>
      </c>
      <c r="BW24" s="28">
        <f t="shared" si="35"/>
        <v>18.8899999999999</v>
      </c>
      <c r="BX24" s="28">
        <v>1117.12</v>
      </c>
      <c r="BY24" s="28">
        <f t="shared" si="36"/>
        <v>19.5900000000001</v>
      </c>
      <c r="BZ24" s="28">
        <v>1136.71</v>
      </c>
      <c r="CA24" s="28">
        <f t="shared" si="37"/>
        <v>12.4099999999999</v>
      </c>
      <c r="CB24" s="28">
        <v>1149.12</v>
      </c>
      <c r="CC24" s="28">
        <f t="shared" si="38"/>
        <v>13.6400000000001</v>
      </c>
      <c r="CD24" s="28">
        <v>1162.76</v>
      </c>
      <c r="CE24" s="28">
        <f t="shared" si="39"/>
        <v>9.80999999999995</v>
      </c>
      <c r="CF24" s="28">
        <v>1172.57</v>
      </c>
      <c r="CG24" s="26">
        <f t="shared" si="40"/>
        <v>47.8700000000001</v>
      </c>
      <c r="CH24" s="28">
        <v>1220.44</v>
      </c>
      <c r="CI24" s="24" t="s">
        <v>87</v>
      </c>
      <c r="CJ24" s="18">
        <v>262.76</v>
      </c>
      <c r="CK24" s="18" t="s">
        <v>88</v>
      </c>
      <c r="CL24" s="18">
        <v>184.85</v>
      </c>
      <c r="CM24" s="3"/>
      <c r="CN24" s="3"/>
      <c r="CO24" s="3"/>
      <c r="CP24" s="15">
        <f t="shared" si="41"/>
        <v>0.556118350758743</v>
      </c>
      <c r="CQ24" s="15">
        <f t="shared" si="42"/>
        <v>1045.05</v>
      </c>
    </row>
    <row r="25" spans="1:95">
      <c r="A25" s="8" t="s">
        <v>73</v>
      </c>
      <c r="B25" s="8" t="s">
        <v>112</v>
      </c>
      <c r="C25" s="8" t="s">
        <v>106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 t="shared" si="20"/>
        <v>24.65</v>
      </c>
      <c r="AT25" s="18">
        <v>706.61</v>
      </c>
      <c r="AU25" s="24">
        <f t="shared" si="21"/>
        <v>17.4399999999999</v>
      </c>
      <c r="AV25" s="24">
        <v>724.05</v>
      </c>
      <c r="AW25" s="28">
        <f t="shared" si="22"/>
        <v>17.08</v>
      </c>
      <c r="AX25" s="28">
        <v>741.13</v>
      </c>
      <c r="AY25" s="28">
        <f t="shared" si="23"/>
        <v>24.95</v>
      </c>
      <c r="AZ25" s="28">
        <v>766.08</v>
      </c>
      <c r="BA25" s="28">
        <f t="shared" si="24"/>
        <v>13.52</v>
      </c>
      <c r="BB25" s="28">
        <v>779.6</v>
      </c>
      <c r="BC25" s="28">
        <f t="shared" si="25"/>
        <v>23.9599999999999</v>
      </c>
      <c r="BD25" s="28">
        <v>803.56</v>
      </c>
      <c r="BE25" s="24">
        <f t="shared" si="26"/>
        <v>9.98000000000002</v>
      </c>
      <c r="BF25" s="28">
        <v>813.54</v>
      </c>
      <c r="BG25" s="28">
        <f t="shared" si="27"/>
        <v>27.73</v>
      </c>
      <c r="BH25" s="28">
        <v>841.27</v>
      </c>
      <c r="BI25" s="28">
        <f t="shared" si="28"/>
        <v>25.37</v>
      </c>
      <c r="BJ25" s="28">
        <v>866.64</v>
      </c>
      <c r="BK25" s="28">
        <f t="shared" si="29"/>
        <v>18.66</v>
      </c>
      <c r="BL25" s="28">
        <v>885.3</v>
      </c>
      <c r="BM25" s="28">
        <f t="shared" si="30"/>
        <v>41.36</v>
      </c>
      <c r="BN25" s="28">
        <v>926.66</v>
      </c>
      <c r="BO25" s="28">
        <f t="shared" si="31"/>
        <v>25.24</v>
      </c>
      <c r="BP25" s="28">
        <v>951.9</v>
      </c>
      <c r="BQ25" s="28">
        <f t="shared" si="32"/>
        <v>11.91</v>
      </c>
      <c r="BR25" s="28">
        <v>963.81</v>
      </c>
      <c r="BS25" s="28">
        <f t="shared" si="33"/>
        <v>27.6400000000001</v>
      </c>
      <c r="BT25" s="28">
        <v>991.45</v>
      </c>
      <c r="BU25" s="28">
        <f t="shared" si="34"/>
        <v>9.96999999999991</v>
      </c>
      <c r="BV25" s="28">
        <v>1001.42</v>
      </c>
      <c r="BW25" s="28">
        <f t="shared" si="35"/>
        <v>17.7900000000001</v>
      </c>
      <c r="BX25" s="28">
        <v>1019.21</v>
      </c>
      <c r="BY25" s="28">
        <f t="shared" si="36"/>
        <v>30.9099999999999</v>
      </c>
      <c r="BZ25" s="28">
        <v>1050.12</v>
      </c>
      <c r="CA25" s="28">
        <f t="shared" si="37"/>
        <v>14.3900000000001</v>
      </c>
      <c r="CB25" s="28">
        <v>1064.51</v>
      </c>
      <c r="CC25" s="28">
        <f t="shared" si="38"/>
        <v>20.8</v>
      </c>
      <c r="CD25" s="28">
        <v>1085.31</v>
      </c>
      <c r="CE25" s="28">
        <f t="shared" si="39"/>
        <v>10.1200000000001</v>
      </c>
      <c r="CF25" s="28">
        <v>1095.43</v>
      </c>
      <c r="CG25" s="26">
        <f t="shared" si="40"/>
        <v>7.83999999999992</v>
      </c>
      <c r="CH25" s="28">
        <v>1103.27</v>
      </c>
      <c r="CI25" s="24" t="s">
        <v>88</v>
      </c>
      <c r="CJ25" s="18">
        <v>362.87</v>
      </c>
      <c r="CK25" s="19" t="s">
        <v>88</v>
      </c>
      <c r="CL25" s="19">
        <v>196.95</v>
      </c>
      <c r="CM25" s="3">
        <v>0</v>
      </c>
      <c r="CN25" s="3">
        <v>1</v>
      </c>
      <c r="CO25" s="3">
        <v>28066</v>
      </c>
      <c r="CP25" s="15">
        <f t="shared" si="41"/>
        <v>0.849559228475351</v>
      </c>
      <c r="CQ25" s="15">
        <f t="shared" si="42"/>
        <v>646.61</v>
      </c>
    </row>
    <row r="26" spans="1:95">
      <c r="A26" s="8" t="s">
        <v>61</v>
      </c>
      <c r="B26" s="8" t="s">
        <v>113</v>
      </c>
      <c r="C26" s="8" t="s">
        <v>106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 t="shared" si="20"/>
        <v>0</v>
      </c>
      <c r="AT26" s="18">
        <v>686.23</v>
      </c>
      <c r="AU26" s="24">
        <f t="shared" si="21"/>
        <v>33.75</v>
      </c>
      <c r="AV26" s="24">
        <v>719.98</v>
      </c>
      <c r="AW26" s="28">
        <f t="shared" si="22"/>
        <v>24.6999999999999</v>
      </c>
      <c r="AX26" s="28">
        <v>744.68</v>
      </c>
      <c r="AY26" s="28">
        <f t="shared" si="23"/>
        <v>7.6400000000001</v>
      </c>
      <c r="AZ26" s="28">
        <v>752.32</v>
      </c>
      <c r="BA26" s="28">
        <f t="shared" si="24"/>
        <v>41.02</v>
      </c>
      <c r="BB26" s="28">
        <v>793.34</v>
      </c>
      <c r="BC26" s="28">
        <f t="shared" si="25"/>
        <v>17.66</v>
      </c>
      <c r="BD26" s="28">
        <v>811</v>
      </c>
      <c r="BE26" s="24">
        <f t="shared" si="26"/>
        <v>6.5</v>
      </c>
      <c r="BF26" s="28">
        <v>817.5</v>
      </c>
      <c r="BG26" s="28">
        <f t="shared" si="27"/>
        <v>13.03</v>
      </c>
      <c r="BH26" s="28">
        <v>830.53</v>
      </c>
      <c r="BI26" s="28">
        <f t="shared" si="28"/>
        <v>11.5600000000001</v>
      </c>
      <c r="BJ26" s="28">
        <v>842.09</v>
      </c>
      <c r="BK26" s="28">
        <f t="shared" si="29"/>
        <v>11.9499999999999</v>
      </c>
      <c r="BL26" s="28">
        <v>854.04</v>
      </c>
      <c r="BM26" s="28">
        <f t="shared" si="30"/>
        <v>28.2800000000001</v>
      </c>
      <c r="BN26" s="28">
        <v>882.32</v>
      </c>
      <c r="BO26" s="28">
        <f t="shared" si="31"/>
        <v>15.0799999999999</v>
      </c>
      <c r="BP26" s="28">
        <v>897.4</v>
      </c>
      <c r="BQ26" s="28">
        <f t="shared" si="32"/>
        <v>8.04000000000008</v>
      </c>
      <c r="BR26" s="28">
        <v>905.44</v>
      </c>
      <c r="BS26" s="28">
        <f t="shared" si="33"/>
        <v>35.1899999999999</v>
      </c>
      <c r="BT26" s="28">
        <v>940.63</v>
      </c>
      <c r="BU26" s="28">
        <f t="shared" si="34"/>
        <v>-1.37</v>
      </c>
      <c r="BV26" s="28">
        <v>939.26</v>
      </c>
      <c r="BW26" s="28">
        <f t="shared" si="35"/>
        <v>34.1</v>
      </c>
      <c r="BX26" s="28">
        <v>973.36</v>
      </c>
      <c r="BY26" s="28">
        <f t="shared" si="36"/>
        <v>16.52</v>
      </c>
      <c r="BZ26" s="28">
        <v>989.88</v>
      </c>
      <c r="CA26" s="28">
        <f t="shared" si="37"/>
        <v>42.6799999999999</v>
      </c>
      <c r="CB26" s="28">
        <v>1032.56</v>
      </c>
      <c r="CC26" s="28">
        <f t="shared" si="38"/>
        <v>23.6000000000001</v>
      </c>
      <c r="CD26" s="28">
        <v>1056.16</v>
      </c>
      <c r="CE26" s="28">
        <f t="shared" si="39"/>
        <v>7.55999999999995</v>
      </c>
      <c r="CF26" s="28">
        <v>1063.72</v>
      </c>
      <c r="CG26" s="26">
        <f t="shared" si="40"/>
        <v>14.1499999999999</v>
      </c>
      <c r="CH26" s="28">
        <v>1077.87</v>
      </c>
      <c r="CI26" s="24" t="s">
        <v>103</v>
      </c>
      <c r="CJ26" s="18">
        <v>268.81</v>
      </c>
      <c r="CK26" s="19" t="s">
        <v>114</v>
      </c>
      <c r="CL26" s="19">
        <v>148.34</v>
      </c>
      <c r="CM26" s="3"/>
      <c r="CN26" s="3"/>
      <c r="CO26" s="3"/>
      <c r="CP26" s="15">
        <f t="shared" si="41"/>
        <v>0.644174371677475</v>
      </c>
      <c r="CQ26" s="15">
        <f t="shared" si="42"/>
        <v>897.4</v>
      </c>
    </row>
    <row r="27" spans="1:95">
      <c r="A27" s="8" t="s">
        <v>68</v>
      </c>
      <c r="B27" s="8" t="s">
        <v>115</v>
      </c>
      <c r="C27" s="8" t="s">
        <v>101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 t="shared" si="20"/>
        <v>25.71</v>
      </c>
      <c r="AT27" s="18">
        <v>784.35</v>
      </c>
      <c r="AU27" s="24">
        <f t="shared" si="21"/>
        <v>6.80999999999995</v>
      </c>
      <c r="AV27" s="24">
        <v>791.16</v>
      </c>
      <c r="AW27" s="28">
        <f t="shared" si="22"/>
        <v>22.99</v>
      </c>
      <c r="AX27" s="28">
        <v>814.15</v>
      </c>
      <c r="AY27" s="28">
        <f t="shared" si="23"/>
        <v>7.02999999999997</v>
      </c>
      <c r="AZ27" s="28">
        <v>821.18</v>
      </c>
      <c r="BA27" s="28">
        <f t="shared" si="24"/>
        <v>10.8000000000001</v>
      </c>
      <c r="BB27" s="28">
        <v>831.98</v>
      </c>
      <c r="BC27" s="28">
        <f t="shared" si="25"/>
        <v>9.29999999999995</v>
      </c>
      <c r="BD27" s="28">
        <v>841.28</v>
      </c>
      <c r="BE27" s="24">
        <f t="shared" si="26"/>
        <v>10.27</v>
      </c>
      <c r="BF27" s="28">
        <v>851.55</v>
      </c>
      <c r="BG27" s="28">
        <f t="shared" si="27"/>
        <v>5.25</v>
      </c>
      <c r="BH27" s="28">
        <v>856.8</v>
      </c>
      <c r="BI27" s="28">
        <f t="shared" si="28"/>
        <v>38.2900000000001</v>
      </c>
      <c r="BJ27" s="28">
        <v>895.09</v>
      </c>
      <c r="BK27" s="28">
        <f t="shared" si="29"/>
        <v>5.57999999999993</v>
      </c>
      <c r="BL27" s="28">
        <v>900.67</v>
      </c>
      <c r="BM27" s="28">
        <f t="shared" si="30"/>
        <v>8.44000000000005</v>
      </c>
      <c r="BN27" s="28">
        <v>909.11</v>
      </c>
      <c r="BO27" s="28">
        <f t="shared" si="31"/>
        <v>15.85</v>
      </c>
      <c r="BP27" s="28">
        <v>924.96</v>
      </c>
      <c r="BQ27" s="28">
        <f t="shared" si="32"/>
        <v>18.7199999999999</v>
      </c>
      <c r="BR27" s="28">
        <v>943.68</v>
      </c>
      <c r="BS27" s="28">
        <f t="shared" si="33"/>
        <v>7.2600000000001</v>
      </c>
      <c r="BT27" s="28">
        <v>950.94</v>
      </c>
      <c r="BU27" s="28">
        <f t="shared" si="34"/>
        <v>12.5599999999999</v>
      </c>
      <c r="BV27" s="28">
        <v>963.5</v>
      </c>
      <c r="BW27" s="28">
        <f t="shared" si="35"/>
        <v>22.38</v>
      </c>
      <c r="BX27" s="28">
        <v>985.88</v>
      </c>
      <c r="BY27" s="28">
        <f t="shared" si="36"/>
        <v>6.41999999999996</v>
      </c>
      <c r="BZ27" s="28">
        <v>992.3</v>
      </c>
      <c r="CA27" s="28">
        <f t="shared" si="37"/>
        <v>17.48</v>
      </c>
      <c r="CB27" s="28">
        <v>1009.78</v>
      </c>
      <c r="CC27" s="28">
        <f t="shared" si="38"/>
        <v>12.87</v>
      </c>
      <c r="CD27" s="28">
        <v>1022.65</v>
      </c>
      <c r="CE27" s="28">
        <f t="shared" si="39"/>
        <v>15.34</v>
      </c>
      <c r="CF27" s="28">
        <v>1037.99</v>
      </c>
      <c r="CG27" s="26">
        <f t="shared" si="40"/>
        <v>11.4200000000001</v>
      </c>
      <c r="CH27" s="28">
        <v>1049.41</v>
      </c>
      <c r="CI27" s="24" t="s">
        <v>71</v>
      </c>
      <c r="CJ27" s="18">
        <v>457.08</v>
      </c>
      <c r="CK27" s="19" t="s">
        <v>116</v>
      </c>
      <c r="CL27" s="19">
        <v>293.75</v>
      </c>
      <c r="CM27" s="3">
        <v>30</v>
      </c>
      <c r="CN27" s="3">
        <v>2.4</v>
      </c>
      <c r="CO27" s="3">
        <v>43895</v>
      </c>
      <c r="CP27" s="15">
        <f t="shared" si="41"/>
        <v>1.12504897037383</v>
      </c>
      <c r="CQ27" s="15">
        <f t="shared" si="42"/>
        <v>517.61</v>
      </c>
    </row>
    <row r="28" spans="1:95">
      <c r="A28" s="3" t="s">
        <v>65</v>
      </c>
      <c r="B28" s="3" t="s">
        <v>117</v>
      </c>
      <c r="C28" s="3" t="s">
        <v>106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 t="shared" si="20"/>
        <v>12.0799999999999</v>
      </c>
      <c r="AT28" s="19">
        <v>693.16</v>
      </c>
      <c r="AU28" s="25">
        <f t="shared" si="21"/>
        <v>4.29000000000008</v>
      </c>
      <c r="AV28" s="25">
        <v>697.45</v>
      </c>
      <c r="AW28" s="29">
        <f t="shared" si="22"/>
        <v>1.69999999999993</v>
      </c>
      <c r="AX28" s="29">
        <v>699.15</v>
      </c>
      <c r="AY28" s="29">
        <f t="shared" si="23"/>
        <v>1.69000000000005</v>
      </c>
      <c r="AZ28" s="29">
        <v>700.84</v>
      </c>
      <c r="BA28" s="29">
        <f t="shared" si="24"/>
        <v>8.5</v>
      </c>
      <c r="BB28" s="29">
        <v>709.34</v>
      </c>
      <c r="BC28" s="29">
        <f t="shared" si="25"/>
        <v>2.5</v>
      </c>
      <c r="BD28" s="29">
        <v>711.84</v>
      </c>
      <c r="BE28" s="25">
        <f t="shared" si="26"/>
        <v>0</v>
      </c>
      <c r="BF28" s="29">
        <v>711.84</v>
      </c>
      <c r="BG28" s="29">
        <f t="shared" si="27"/>
        <v>5.63999999999999</v>
      </c>
      <c r="BH28" s="29">
        <v>717.48</v>
      </c>
      <c r="BI28" s="29">
        <f t="shared" si="28"/>
        <v>3.46000000000004</v>
      </c>
      <c r="BJ28" s="29">
        <v>720.94</v>
      </c>
      <c r="BK28" s="29">
        <f t="shared" si="29"/>
        <v>0.75</v>
      </c>
      <c r="BL28" s="29">
        <v>721.69</v>
      </c>
      <c r="BM28" s="29">
        <f t="shared" si="30"/>
        <v>4.17999999999995</v>
      </c>
      <c r="BN28" s="29">
        <v>725.87</v>
      </c>
      <c r="BO28" s="29">
        <f t="shared" si="31"/>
        <v>1.95000000000005</v>
      </c>
      <c r="BP28" s="29">
        <v>727.82</v>
      </c>
      <c r="BQ28" s="29">
        <f t="shared" si="32"/>
        <v>7.20999999999992</v>
      </c>
      <c r="BR28" s="29">
        <v>735.03</v>
      </c>
      <c r="BS28" s="29">
        <f t="shared" si="33"/>
        <v>0</v>
      </c>
      <c r="BT28" s="29">
        <v>735.03</v>
      </c>
      <c r="BU28" s="29">
        <f t="shared" si="34"/>
        <v>1.37</v>
      </c>
      <c r="BV28" s="29">
        <v>736.4</v>
      </c>
      <c r="BW28" s="29">
        <f t="shared" si="35"/>
        <v>4.48000000000002</v>
      </c>
      <c r="BX28" s="29">
        <v>740.88</v>
      </c>
      <c r="BY28" s="29">
        <f t="shared" si="36"/>
        <v>0</v>
      </c>
      <c r="BZ28" s="29">
        <v>740.88</v>
      </c>
      <c r="CA28" s="29">
        <f t="shared" si="37"/>
        <v>0.259999999999991</v>
      </c>
      <c r="CB28" s="29">
        <v>741.14</v>
      </c>
      <c r="CC28" s="29">
        <f t="shared" si="38"/>
        <v>0.610000000000014</v>
      </c>
      <c r="CD28" s="29">
        <v>741.75</v>
      </c>
      <c r="CE28" s="29">
        <f t="shared" si="39"/>
        <v>4.10000000000002</v>
      </c>
      <c r="CF28" s="29">
        <v>745.85</v>
      </c>
      <c r="CG28" s="26">
        <f t="shared" si="40"/>
        <v>13.17</v>
      </c>
      <c r="CH28" s="29">
        <v>759.02</v>
      </c>
      <c r="CI28" s="25" t="s">
        <v>88</v>
      </c>
      <c r="CJ28" s="19">
        <v>200.64</v>
      </c>
      <c r="CK28" s="19" t="s">
        <v>87</v>
      </c>
      <c r="CL28" s="19">
        <v>171.75</v>
      </c>
      <c r="CM28" s="3">
        <v>0</v>
      </c>
      <c r="CN28" s="3">
        <v>0.5</v>
      </c>
      <c r="CO28" s="3">
        <v>49654</v>
      </c>
      <c r="CP28" s="15">
        <f t="shared" si="41"/>
        <v>0.68279244288688</v>
      </c>
      <c r="CQ28" s="15">
        <f t="shared" si="42"/>
        <v>175.03</v>
      </c>
    </row>
    <row r="31" spans="1:88">
      <c r="A31" t="s">
        <v>118</v>
      </c>
      <c r="B31" t="s">
        <v>119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</row>
    <row r="32" spans="1:91">
      <c r="A32" t="s">
        <v>120</v>
      </c>
      <c r="B32" t="s">
        <v>121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</row>
    <row r="33" spans="1:2">
      <c r="A33" t="s">
        <v>106</v>
      </c>
      <c r="B33" t="s">
        <v>122</v>
      </c>
    </row>
    <row r="34" spans="1:87">
      <c r="A34" t="s">
        <v>101</v>
      </c>
      <c r="B34" t="s">
        <v>123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</row>
    <row r="35" spans="1:2">
      <c r="A35" t="s">
        <v>84</v>
      </c>
      <c r="B35" t="s">
        <v>124</v>
      </c>
    </row>
    <row r="36" spans="1:2">
      <c r="A36" t="s">
        <v>75</v>
      </c>
      <c r="B36" t="s">
        <v>125</v>
      </c>
    </row>
    <row r="37" spans="1:2">
      <c r="A37" t="s">
        <v>70</v>
      </c>
      <c r="B37" t="s">
        <v>126</v>
      </c>
    </row>
    <row r="38" spans="1:2">
      <c r="A38" t="s">
        <v>58</v>
      </c>
      <c r="B38" t="s">
        <v>127</v>
      </c>
    </row>
    <row r="39" spans="1:2">
      <c r="A39" t="s">
        <v>128</v>
      </c>
      <c r="B39" t="s">
        <v>129</v>
      </c>
    </row>
    <row r="40" spans="1:2">
      <c r="A40" t="s">
        <v>130</v>
      </c>
      <c r="B40" t="s">
        <v>131</v>
      </c>
    </row>
  </sheetData>
  <sortState ref="A2:CQ28">
    <sortCondition ref="CH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38"/>
  <sheetViews>
    <sheetView tabSelected="1" topLeftCell="AI1" workbookViewId="0">
      <selection activeCell="AU35" sqref="AU35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5" width="16.125" customWidth="1"/>
    <col min="46" max="46" width="12.7583333333333" customWidth="1"/>
    <col min="47" max="47" width="14" customWidth="1"/>
    <col min="49" max="49" width="11.7583333333333" customWidth="1"/>
  </cols>
  <sheetData>
    <row r="1" spans="1:45">
      <c r="A1" t="s">
        <v>0</v>
      </c>
      <c r="B1" t="s">
        <v>132</v>
      </c>
      <c r="C1" t="s">
        <v>133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  <c r="J1" t="s">
        <v>140</v>
      </c>
      <c r="K1" t="s">
        <v>141</v>
      </c>
      <c r="L1" t="s">
        <v>142</v>
      </c>
      <c r="M1" t="s">
        <v>143</v>
      </c>
      <c r="N1" t="s">
        <v>144</v>
      </c>
      <c r="O1" t="s">
        <v>145</v>
      </c>
      <c r="P1" t="s">
        <v>146</v>
      </c>
      <c r="Q1" t="s">
        <v>147</v>
      </c>
      <c r="R1" t="s">
        <v>148</v>
      </c>
      <c r="S1" t="s">
        <v>149</v>
      </c>
      <c r="T1" t="s">
        <v>150</v>
      </c>
      <c r="U1" t="s">
        <v>151</v>
      </c>
      <c r="V1" t="s">
        <v>152</v>
      </c>
      <c r="W1" t="s">
        <v>153</v>
      </c>
      <c r="X1" t="s">
        <v>154</v>
      </c>
      <c r="Y1" t="s">
        <v>155</v>
      </c>
      <c r="Z1" t="s">
        <v>156</v>
      </c>
      <c r="AA1" t="s">
        <v>157</v>
      </c>
      <c r="AB1" t="s">
        <v>158</v>
      </c>
      <c r="AC1" t="s">
        <v>159</v>
      </c>
      <c r="AD1" t="s">
        <v>160</v>
      </c>
      <c r="AE1" t="s">
        <v>161</v>
      </c>
      <c r="AF1" t="s">
        <v>162</v>
      </c>
      <c r="AG1" t="s">
        <v>163</v>
      </c>
      <c r="AH1" t="s">
        <v>164</v>
      </c>
      <c r="AI1" t="s">
        <v>165</v>
      </c>
      <c r="AJ1" t="s">
        <v>166</v>
      </c>
      <c r="AK1" t="s">
        <v>167</v>
      </c>
      <c r="AL1" t="s">
        <v>168</v>
      </c>
      <c r="AM1" t="s">
        <v>169</v>
      </c>
      <c r="AN1" t="s">
        <v>170</v>
      </c>
      <c r="AO1" t="s">
        <v>171</v>
      </c>
      <c r="AP1" t="s">
        <v>172</v>
      </c>
      <c r="AQ1" t="s">
        <v>173</v>
      </c>
      <c r="AR1" t="s">
        <v>174</v>
      </c>
      <c r="AS1" t="s">
        <v>175</v>
      </c>
    </row>
    <row r="2" spans="1:45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7">
        <v>7160</v>
      </c>
      <c r="AS2" s="7">
        <f>SUM(A2:AR2)</f>
        <v>317070</v>
      </c>
    </row>
    <row r="3" spans="1:45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v>1005</v>
      </c>
      <c r="AS3" s="7">
        <f t="shared" ref="AS3:AS9" si="0">SUM(A3:AR3)</f>
        <v>192131</v>
      </c>
    </row>
    <row r="4" spans="1:45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v>60</v>
      </c>
      <c r="AS4" s="7">
        <f t="shared" si="0"/>
        <v>19477</v>
      </c>
    </row>
    <row r="5" spans="1:45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7">
        <v>5390</v>
      </c>
      <c r="AS5" s="7">
        <f t="shared" si="0"/>
        <v>295123</v>
      </c>
    </row>
    <row r="6" spans="1:45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v>775</v>
      </c>
      <c r="AS6" s="7">
        <f t="shared" si="0"/>
        <v>66764</v>
      </c>
    </row>
    <row r="7" spans="1:45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v>1775</v>
      </c>
      <c r="AS7" s="7">
        <f t="shared" si="0"/>
        <v>78920</v>
      </c>
    </row>
    <row r="8" spans="1:45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7">
        <v>1980</v>
      </c>
      <c r="AS8" s="7">
        <f t="shared" si="0"/>
        <v>127531</v>
      </c>
    </row>
    <row r="9" spans="1:45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v>1025</v>
      </c>
      <c r="AS9" s="7">
        <f t="shared" si="0"/>
        <v>79339</v>
      </c>
    </row>
    <row r="14" spans="1:45">
      <c r="A14" t="s">
        <v>176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Q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>SUM(AR2:AR9)</f>
        <v>19170</v>
      </c>
      <c r="AS14">
        <f>SUM(B14:AR14)</f>
        <v>1175167</v>
      </c>
    </row>
    <row r="18" ht="10" customHeight="1"/>
    <row r="19" spans="1:1">
      <c r="A19" t="s">
        <v>177</v>
      </c>
    </row>
    <row r="20" spans="1:44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</row>
    <row r="21" spans="1:44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</row>
    <row r="22" spans="1:44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</row>
    <row r="23" spans="1:44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</row>
    <row r="24" spans="1:44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</row>
    <row r="25" spans="1:44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</row>
    <row r="26" spans="1:44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</row>
    <row r="27" spans="1:44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</row>
    <row r="29" spans="1:45">
      <c r="A29" t="s">
        <v>178</v>
      </c>
      <c r="AS29" t="s">
        <v>179</v>
      </c>
    </row>
    <row r="30" spans="2: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</row>
    <row r="31" spans="1:45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SUM(B20:AR20)/43</f>
        <v>1.48837209302326</v>
      </c>
      <c r="AS31" s="4">
        <f>B31-AR31</f>
        <v>-0.488372093023256</v>
      </c>
    </row>
    <row r="32" spans="1:45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SUM(B21:AR21)/43</f>
        <v>3.23255813953488</v>
      </c>
      <c r="AS32" s="4">
        <f t="shared" ref="AS32:AS38" si="45">B32-AR32</f>
        <v>-0.232558139534884</v>
      </c>
    </row>
    <row r="33" spans="1:45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7.95348837209302</v>
      </c>
      <c r="AS33" s="4">
        <f t="shared" si="45"/>
        <v>0.0465116279069768</v>
      </c>
    </row>
    <row r="34" spans="1:45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1.74418604651163</v>
      </c>
      <c r="AS34" s="4">
        <f t="shared" si="45"/>
        <v>0.255813953488372</v>
      </c>
    </row>
    <row r="35" spans="1:45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6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6.04651162790698</v>
      </c>
      <c r="AS35" s="4">
        <f t="shared" si="45"/>
        <v>-2.04651162790698</v>
      </c>
    </row>
    <row r="36" spans="1:45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6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5.7906976744186</v>
      </c>
      <c r="AS36" s="4">
        <f t="shared" si="45"/>
        <v>0.209302325581396</v>
      </c>
    </row>
    <row r="37" spans="1:45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6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4.02325581395349</v>
      </c>
      <c r="AS37" s="4">
        <f t="shared" si="45"/>
        <v>0.976744186046512</v>
      </c>
    </row>
    <row r="38" spans="1:45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6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5.72093023255814</v>
      </c>
      <c r="AS38" s="4">
        <f t="shared" si="45"/>
        <v>1.27906976744186</v>
      </c>
    </row>
  </sheetData>
  <pageMargins left="0.7" right="0.7" top="0.75" bottom="0.75" header="0.3" footer="0.3"/>
  <pageSetup paperSize="9" orientation="portrait"/>
  <headerFooter/>
  <ignoredErrors>
    <ignoredError sqref="N31:AP31 N32:AQ38 C31:L38 M31:M3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2026-01-08T02:14:13Z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