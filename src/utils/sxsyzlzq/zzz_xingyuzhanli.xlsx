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<sst xmlns="http://schemas.openxmlformats.org/spreadsheetml/2006/main" count="153" uniqueCount="89">
  <si>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</si>
  <si>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</si>
  <si>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</si>
  <si>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</si>
  <si>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</si>
  <si>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</si>
  <si>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</si>
  <si>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</si>
  <si>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</si>
  <si>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</si>
  <si>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</si>
  <si>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累计提升</t>
  </si>
  <si>
    <t>首席英雄（流派）</t>
  </si>
  <si>
    <t>首席英雄战力</t>
  </si>
  <si>
    <t>飞值</t>
  </si>
  <si>
    <t>肝值</t>
  </si>
  <si>
    <t>周充值</t>
  </si>
  <si>
    <t>146区</t>
  </si>
  <si>
    <t>KB</t>
  </si>
  <si>
    <t>大氪</t>
  </si>
  <si>
    <t>圣母（杂糅）</t>
  </si>
  <si>
    <t>148区</t>
  </si>
  <si>
    <t>大核桃</t>
  </si>
  <si>
    <t>中大氪</t>
  </si>
  <si>
    <t>眼镜妹（跳费）</t>
  </si>
  <si>
    <t>149区</t>
  </si>
  <si>
    <t>灰企鹅呆瓜</t>
  </si>
  <si>
    <t>狐狸（快攻）</t>
  </si>
  <si>
    <t>水煮肉片</t>
  </si>
  <si>
    <t>中氪</t>
  </si>
  <si>
    <t>145区</t>
  </si>
  <si>
    <t>Mr.Go</t>
  </si>
  <si>
    <t>魔尊（快攻）</t>
  </si>
  <si>
    <t>江南</t>
  </si>
  <si>
    <t>古月星辰</t>
  </si>
  <si>
    <t>白处尊（养神）</t>
  </si>
  <si>
    <t>151区</t>
  </si>
  <si>
    <t>suola</t>
  </si>
  <si>
    <t>中低氪</t>
  </si>
  <si>
    <t>洞察妹（洞察）</t>
  </si>
  <si>
    <t>杜佳捷</t>
  </si>
  <si>
    <t>梅（杂糅）</t>
  </si>
  <si>
    <t>1。</t>
  </si>
  <si>
    <t>低氪</t>
  </si>
  <si>
    <t>讯（养神）</t>
  </si>
  <si>
    <t>玩玩</t>
  </si>
  <si>
    <t>查查（养神）</t>
  </si>
  <si>
    <t>星空</t>
  </si>
  <si>
    <t>丽娅（人海）</t>
  </si>
  <si>
    <t>请叫我阿奎</t>
  </si>
  <si>
    <t>丽娅（杂糅）</t>
  </si>
  <si>
    <t>小黑</t>
  </si>
  <si>
    <t>何斌</t>
  </si>
  <si>
    <t>白处尊（杂糅）</t>
  </si>
  <si>
    <t>12345。</t>
  </si>
  <si>
    <t>冰男（浦冰）</t>
  </si>
  <si>
    <t>谢之求学者</t>
  </si>
  <si>
    <t>150区</t>
  </si>
  <si>
    <t>开飞机的贝塔</t>
  </si>
  <si>
    <t>桃太郎</t>
  </si>
  <si>
    <t>152区</t>
  </si>
  <si>
    <t>养乐多</t>
  </si>
  <si>
    <t>梅（养神）</t>
  </si>
  <si>
    <t>[永恒]</t>
  </si>
  <si>
    <t>朱</t>
  </si>
  <si>
    <t>微氪</t>
  </si>
  <si>
    <t>桂林碧桂园</t>
  </si>
  <si>
    <t>清风</t>
  </si>
  <si>
    <t>冽（传承）</t>
  </si>
  <si>
    <t>白夜</t>
  </si>
  <si>
    <t>零氪</t>
  </si>
  <si>
    <t>秋雨</t>
  </si>
  <si>
    <t>糊涂阳</t>
  </si>
  <si>
    <t>氪度表：</t>
  </si>
  <si>
    <t>金额：</t>
  </si>
  <si>
    <t>肝值：每日游戏时长，(单位：小时)具体表现：竞技场+天梯+科研+群聊天+异界平均+每日游戏时间+世界赛平均+每天挂机看卡发呆</t>
  </si>
  <si>
    <t>0-99</t>
  </si>
  <si>
    <t>100-999</t>
  </si>
  <si>
    <t>1K-2999</t>
  </si>
  <si>
    <t>颜色区域划分：（每1000万战力区分一个档位【炫金、黑耀、红色、橙色、紫色、蓝色】）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</si>
  <si>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</si>
  <si>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</si>
  <si>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</si>
  <si>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</si>
  <si>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</si>
  <si>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</si>
  <si>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</si>
  <si>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</si>
  <si>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飞值：（以开飞机的贝塔总英雄战力除以首席英雄战力的值【2.834】为基准值再除以每个人的）：越高说明越专一，越低越是七边形战神。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</si>
</sst>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_ "/>
  </numFmts>
  <fonts count="24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vertical="center"/>
    </xf>
    <xf numFmtId="0" fontId="0" fillId="0" borderId="0" xfId="0" applyFont="1" applyAlignment="1">
      <alignment horizontal="right" vertical="center"/>
    </xf>
    <xf numFmtId="176" fontId="0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>
      <alignment vertical="center"/>
    </xf>
    <xf numFmtId="0" fontId="4" fillId="0" borderId="0" xfId="0" applyFont="1" applyAlignment="1">
      <alignment horizontal="right" vertical="center"/>
    </xf>
    <xf numFmtId="176" fontId="4" fillId="0" borderId="0" xfId="0" applyNumberFormat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45"/>
  <sheetViews>
    <sheetView tabSelected="1" zoomScale="115" zoomScaleNormal="115" workbookViewId="0">
      <selection activeCell="Y11" sqref="Y11"/>
    </sheetView>
  </sheetViews>
  <sheetFormatPr defaultColWidth="9" defaultRowHeight="13.5"/>
  <cols>
    <col min="1" max="1" width="11.3666666666667" customWidth="1"/>
    <col min="2" max="2" width="13.2583333333333" customWidth="1"/>
    <col min="3" max="3" width="11.5416666666667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" customWidth="1"/>
    <col min="14" max="14" width="17.4583333333333" customWidth="1"/>
    <col min="15" max="15" width="14.125" customWidth="1"/>
    <col min="16" max="16" width="15.5" customWidth="1"/>
    <col min="17" max="17" width="14.125" customWidth="1"/>
    <col min="18" max="18" width="18.3666666666667" customWidth="1"/>
    <col min="19" max="19" width="13.5916666666667" customWidth="1"/>
    <col min="20" max="20" width="13.1416666666667" hidden="1" customWidth="1"/>
    <col min="22" max="22" width="9.45" customWidth="1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</row>
    <row r="2" s="1" customFormat="1" spans="1:22">
      <c r="A2" s="2" t="s">
        <v>17</v>
      </c>
      <c r="B2" s="2" t="s">
        <v>18</v>
      </c>
      <c r="C2" s="2" t="s">
        <v>19</v>
      </c>
      <c r="D2" s="2">
        <v>4105.48</v>
      </c>
      <c r="E2" s="2">
        <f t="shared" ref="E2:E28" si="0">F2-D2</f>
        <v>181.21</v>
      </c>
      <c r="F2" s="2">
        <v>4286.69</v>
      </c>
      <c r="G2" s="2">
        <f t="shared" ref="G2:G28" si="1">H2-F2</f>
        <v>139.09</v>
      </c>
      <c r="H2" s="2">
        <v>4425.78</v>
      </c>
      <c r="I2" s="2">
        <f t="shared" ref="I2:I28" si="2">J2-H2</f>
        <v>54.8800000000001</v>
      </c>
      <c r="J2" s="2">
        <v>4480.66</v>
      </c>
      <c r="K2" s="2">
        <f t="shared" ref="K2:K28" si="3">L2-J2</f>
        <v>104.900000000001</v>
      </c>
      <c r="L2" s="2">
        <v>4585.56</v>
      </c>
      <c r="M2" s="2">
        <f t="shared" ref="M2:M28" si="4">N2-L2</f>
        <v>70.29</v>
      </c>
      <c r="N2" s="2">
        <v>4655.85</v>
      </c>
      <c r="O2" s="2">
        <f t="shared" ref="O2:O28" si="5">P2-N2</f>
        <v>49.1700000000001</v>
      </c>
      <c r="P2" s="2">
        <v>4705.02</v>
      </c>
      <c r="Q2" s="2">
        <f t="shared" ref="Q2:Q28" si="6">P2-D2</f>
        <v>599.540000000001</v>
      </c>
      <c r="R2" s="7" t="s">
        <v>20</v>
      </c>
      <c r="S2" s="2">
        <v>1328.92</v>
      </c>
      <c r="T2" s="8">
        <f t="shared" ref="T2:T28" si="7">2.834/(P2/S2)</f>
        <v>0.80045553047596</v>
      </c>
      <c r="U2" s="2">
        <v>1.2</v>
      </c>
      <c r="V2" s="2">
        <v>400</v>
      </c>
    </row>
    <row r="3" spans="1:22">
      <c r="A3" s="3" t="s">
        <v>21</v>
      </c>
      <c r="B3" s="3" t="s">
        <v>22</v>
      </c>
      <c r="C3" s="3" t="s">
        <v>23</v>
      </c>
      <c r="D3" s="3">
        <v>2714.1</v>
      </c>
      <c r="E3" s="3">
        <f t="shared" si="0"/>
        <v>123.29</v>
      </c>
      <c r="F3" s="3">
        <v>2837.39</v>
      </c>
      <c r="G3" s="3">
        <f t="shared" si="1"/>
        <v>95.8499999999999</v>
      </c>
      <c r="H3" s="3">
        <v>2933.24</v>
      </c>
      <c r="I3" s="3">
        <f t="shared" si="2"/>
        <v>92.46</v>
      </c>
      <c r="J3" s="3">
        <v>3025.7</v>
      </c>
      <c r="K3" s="3">
        <f t="shared" si="3"/>
        <v>90.4100000000003</v>
      </c>
      <c r="L3" s="3">
        <v>3116.11</v>
      </c>
      <c r="M3" s="3">
        <f t="shared" si="4"/>
        <v>103.54</v>
      </c>
      <c r="N3" s="3">
        <v>3219.65</v>
      </c>
      <c r="O3" s="3">
        <f t="shared" si="5"/>
        <v>75.6599999999999</v>
      </c>
      <c r="P3" s="3">
        <v>3295.31</v>
      </c>
      <c r="Q3" s="3">
        <f t="shared" si="6"/>
        <v>581.21</v>
      </c>
      <c r="R3" s="9" t="s">
        <v>24</v>
      </c>
      <c r="S3" s="3">
        <v>675.52</v>
      </c>
      <c r="T3" s="10">
        <f t="shared" si="7"/>
        <v>0.580954046811984</v>
      </c>
      <c r="U3" s="3">
        <v>9.2</v>
      </c>
      <c r="V3" s="3">
        <v>500</v>
      </c>
    </row>
    <row r="4" spans="1:22">
      <c r="A4" s="4" t="s">
        <v>25</v>
      </c>
      <c r="B4" s="4" t="s">
        <v>26</v>
      </c>
      <c r="C4" s="4" t="s">
        <v>23</v>
      </c>
      <c r="D4" s="4">
        <v>2533.85</v>
      </c>
      <c r="E4" s="4">
        <f t="shared" si="0"/>
        <v>50.0500000000002</v>
      </c>
      <c r="F4" s="4">
        <v>2583.9</v>
      </c>
      <c r="G4" s="4">
        <f t="shared" si="1"/>
        <v>85.7599999999998</v>
      </c>
      <c r="H4" s="4">
        <v>2669.66</v>
      </c>
      <c r="I4" s="4">
        <f t="shared" si="2"/>
        <v>81.79</v>
      </c>
      <c r="J4" s="4">
        <v>2751.45</v>
      </c>
      <c r="K4" s="4">
        <f t="shared" si="3"/>
        <v>83.1700000000001</v>
      </c>
      <c r="L4" s="4">
        <v>2834.62</v>
      </c>
      <c r="M4" s="4">
        <f t="shared" si="4"/>
        <v>56.9900000000002</v>
      </c>
      <c r="N4" s="4">
        <v>2891.61</v>
      </c>
      <c r="O4" s="4">
        <f t="shared" si="5"/>
        <v>103.98</v>
      </c>
      <c r="P4" s="4">
        <v>2995.59</v>
      </c>
      <c r="Q4" s="4">
        <f t="shared" si="6"/>
        <v>461.74</v>
      </c>
      <c r="R4" s="11" t="s">
        <v>27</v>
      </c>
      <c r="S4" s="4">
        <v>620.62</v>
      </c>
      <c r="T4" s="12">
        <f t="shared" si="7"/>
        <v>0.587142125591286</v>
      </c>
      <c r="U4" s="4">
        <v>1.6</v>
      </c>
      <c r="V4" s="4">
        <v>200</v>
      </c>
    </row>
    <row r="5" spans="1:22">
      <c r="A5" s="4" t="s">
        <v>21</v>
      </c>
      <c r="B5" s="4" t="s">
        <v>28</v>
      </c>
      <c r="C5" s="4" t="s">
        <v>29</v>
      </c>
      <c r="D5" s="4">
        <v>2183.01</v>
      </c>
      <c r="E5" s="4">
        <f t="shared" si="0"/>
        <v>24.1199999999999</v>
      </c>
      <c r="F5" s="4">
        <v>2207.13</v>
      </c>
      <c r="G5" s="4">
        <f t="shared" si="1"/>
        <v>22.8599999999997</v>
      </c>
      <c r="H5" s="4">
        <v>2229.99</v>
      </c>
      <c r="I5" s="4">
        <f t="shared" si="2"/>
        <v>11.7800000000002</v>
      </c>
      <c r="J5" s="4">
        <v>2241.77</v>
      </c>
      <c r="K5" s="4">
        <f t="shared" si="3"/>
        <v>13.0100000000002</v>
      </c>
      <c r="L5" s="4">
        <v>2254.78</v>
      </c>
      <c r="M5" s="4">
        <f t="shared" si="4"/>
        <v>62.6399999999999</v>
      </c>
      <c r="N5" s="4">
        <v>2317.42</v>
      </c>
      <c r="O5" s="4">
        <f t="shared" si="5"/>
        <v>16.27</v>
      </c>
      <c r="P5" s="4">
        <v>2333.69</v>
      </c>
      <c r="Q5" s="4">
        <f t="shared" si="6"/>
        <v>150.68</v>
      </c>
      <c r="R5" s="11" t="s">
        <v>24</v>
      </c>
      <c r="S5" s="4">
        <v>563.62</v>
      </c>
      <c r="T5" s="12">
        <f t="shared" si="7"/>
        <v>0.684452125175152</v>
      </c>
      <c r="U5" s="4">
        <v>0</v>
      </c>
      <c r="V5" s="4">
        <v>0</v>
      </c>
    </row>
    <row r="6" spans="1:22">
      <c r="A6" s="4" t="s">
        <v>30</v>
      </c>
      <c r="B6" s="4" t="s">
        <v>31</v>
      </c>
      <c r="C6" s="4" t="s">
        <v>19</v>
      </c>
      <c r="D6" s="4">
        <v>2136.24</v>
      </c>
      <c r="E6" s="4">
        <f t="shared" si="0"/>
        <v>40.8200000000002</v>
      </c>
      <c r="F6" s="4">
        <v>2177.06</v>
      </c>
      <c r="G6" s="4">
        <f t="shared" si="1"/>
        <v>62.5999999999999</v>
      </c>
      <c r="H6" s="4">
        <v>2239.66</v>
      </c>
      <c r="I6" s="4">
        <f t="shared" si="2"/>
        <v>47.0700000000002</v>
      </c>
      <c r="J6" s="4">
        <v>2286.73</v>
      </c>
      <c r="K6" s="4">
        <f t="shared" si="3"/>
        <v>25.52</v>
      </c>
      <c r="L6" s="4">
        <v>2312.25</v>
      </c>
      <c r="M6" s="4">
        <f t="shared" si="4"/>
        <v>36.7800000000002</v>
      </c>
      <c r="N6" s="4">
        <v>2349.03</v>
      </c>
      <c r="O6" s="4">
        <f t="shared" si="5"/>
        <v>-18.02</v>
      </c>
      <c r="P6" s="4">
        <v>2331.01</v>
      </c>
      <c r="Q6" s="4">
        <f t="shared" si="6"/>
        <v>194.77</v>
      </c>
      <c r="R6" s="11" t="s">
        <v>32</v>
      </c>
      <c r="S6" s="4">
        <v>674.42</v>
      </c>
      <c r="T6" s="12">
        <f t="shared" si="7"/>
        <v>0.819947696492078</v>
      </c>
      <c r="U6" s="4">
        <v>1.8</v>
      </c>
      <c r="V6" s="4">
        <v>20</v>
      </c>
    </row>
    <row r="7" spans="1:22">
      <c r="A7" s="4" t="s">
        <v>17</v>
      </c>
      <c r="B7" s="4" t="s">
        <v>33</v>
      </c>
      <c r="C7" s="4" t="s">
        <v>23</v>
      </c>
      <c r="D7" s="4">
        <v>1966.62</v>
      </c>
      <c r="E7" s="4">
        <f t="shared" si="0"/>
        <v>49.0200000000002</v>
      </c>
      <c r="F7" s="4">
        <v>2015.64</v>
      </c>
      <c r="G7" s="4">
        <f t="shared" si="1"/>
        <v>34.1600000000001</v>
      </c>
      <c r="H7" s="4">
        <v>2049.8</v>
      </c>
      <c r="I7" s="4">
        <f t="shared" si="2"/>
        <v>90.0999999999999</v>
      </c>
      <c r="J7" s="4">
        <v>2139.9</v>
      </c>
      <c r="K7" s="4">
        <f t="shared" si="3"/>
        <v>53.1700000000001</v>
      </c>
      <c r="L7" s="4">
        <v>2193.07</v>
      </c>
      <c r="M7" s="4">
        <f t="shared" si="4"/>
        <v>63.9099999999999</v>
      </c>
      <c r="N7" s="4">
        <v>2256.98</v>
      </c>
      <c r="O7" s="4">
        <f t="shared" si="5"/>
        <v>45.71</v>
      </c>
      <c r="P7" s="4">
        <v>2302.69</v>
      </c>
      <c r="Q7" s="4">
        <f t="shared" si="6"/>
        <v>336.07</v>
      </c>
      <c r="R7" s="11" t="s">
        <v>32</v>
      </c>
      <c r="S7" s="4">
        <v>824.67</v>
      </c>
      <c r="T7" s="12">
        <f t="shared" si="7"/>
        <v>1.01494981087337</v>
      </c>
      <c r="U7" s="4">
        <v>1.2</v>
      </c>
      <c r="V7" s="4">
        <v>65</v>
      </c>
    </row>
    <row r="8" spans="1:22">
      <c r="A8" s="4" t="s">
        <v>30</v>
      </c>
      <c r="B8" s="4" t="s">
        <v>34</v>
      </c>
      <c r="C8" s="4" t="s">
        <v>29</v>
      </c>
      <c r="D8" s="4">
        <v>1754.54</v>
      </c>
      <c r="E8" s="4">
        <f t="shared" si="0"/>
        <v>53.3700000000001</v>
      </c>
      <c r="F8" s="4">
        <v>1807.91</v>
      </c>
      <c r="G8" s="4">
        <f t="shared" si="1"/>
        <v>90.24</v>
      </c>
      <c r="H8" s="4">
        <v>1898.15</v>
      </c>
      <c r="I8" s="4">
        <f t="shared" si="2"/>
        <v>90.3799999999999</v>
      </c>
      <c r="J8" s="4">
        <v>1988.53</v>
      </c>
      <c r="K8" s="4">
        <f t="shared" si="3"/>
        <v>59.7099999999998</v>
      </c>
      <c r="L8" s="4">
        <v>2048.24</v>
      </c>
      <c r="M8" s="4">
        <f t="shared" si="4"/>
        <v>153.99</v>
      </c>
      <c r="N8" s="4">
        <v>2202.23</v>
      </c>
      <c r="O8" s="4">
        <f t="shared" si="5"/>
        <v>64.21</v>
      </c>
      <c r="P8" s="4">
        <v>2266.44</v>
      </c>
      <c r="Q8" s="4">
        <f t="shared" si="6"/>
        <v>511.9</v>
      </c>
      <c r="R8" s="11" t="s">
        <v>35</v>
      </c>
      <c r="S8" s="4">
        <v>389.97</v>
      </c>
      <c r="T8" s="12">
        <f t="shared" si="7"/>
        <v>0.487625959654789</v>
      </c>
      <c r="U8" s="4">
        <v>2.2</v>
      </c>
      <c r="V8" s="4">
        <v>300</v>
      </c>
    </row>
    <row r="9" spans="1:22">
      <c r="A9" s="4" t="s">
        <v>36</v>
      </c>
      <c r="B9" s="4" t="s">
        <v>37</v>
      </c>
      <c r="C9" s="4" t="s">
        <v>38</v>
      </c>
      <c r="D9" s="4">
        <v>1735.94</v>
      </c>
      <c r="E9" s="4">
        <f t="shared" si="0"/>
        <v>48.5999999999999</v>
      </c>
      <c r="F9" s="4">
        <v>1784.54</v>
      </c>
      <c r="G9" s="4">
        <f t="shared" si="1"/>
        <v>74.1600000000001</v>
      </c>
      <c r="H9" s="4">
        <v>1858.7</v>
      </c>
      <c r="I9" s="4">
        <f t="shared" si="2"/>
        <v>65.55</v>
      </c>
      <c r="J9" s="4">
        <v>1924.25</v>
      </c>
      <c r="K9" s="4">
        <f t="shared" si="3"/>
        <v>35.73</v>
      </c>
      <c r="L9" s="4">
        <v>1959.98</v>
      </c>
      <c r="M9" s="4">
        <f t="shared" si="4"/>
        <v>41.8799999999999</v>
      </c>
      <c r="N9" s="4">
        <v>2001.86</v>
      </c>
      <c r="O9" s="4">
        <f t="shared" si="5"/>
        <v>74.6600000000001</v>
      </c>
      <c r="P9" s="4">
        <v>2076.52</v>
      </c>
      <c r="Q9" s="4">
        <f t="shared" si="6"/>
        <v>340.58</v>
      </c>
      <c r="R9" s="11" t="s">
        <v>39</v>
      </c>
      <c r="S9" s="4">
        <v>511.12</v>
      </c>
      <c r="T9" s="12">
        <f t="shared" si="7"/>
        <v>0.697568085065398</v>
      </c>
      <c r="U9" s="4">
        <v>7.2</v>
      </c>
      <c r="V9" s="4">
        <v>80</v>
      </c>
    </row>
    <row r="10" spans="1:22">
      <c r="A10" s="4" t="s">
        <v>30</v>
      </c>
      <c r="B10" s="4" t="s">
        <v>40</v>
      </c>
      <c r="C10" s="4" t="s">
        <v>38</v>
      </c>
      <c r="D10" s="4">
        <v>1726.42</v>
      </c>
      <c r="E10" s="4">
        <f t="shared" si="0"/>
        <v>56.28</v>
      </c>
      <c r="F10" s="4">
        <v>1782.7</v>
      </c>
      <c r="G10" s="4">
        <f t="shared" si="1"/>
        <v>70.9199999999998</v>
      </c>
      <c r="H10" s="4">
        <v>1853.62</v>
      </c>
      <c r="I10" s="4">
        <f t="shared" si="2"/>
        <v>49.5800000000002</v>
      </c>
      <c r="J10" s="4">
        <v>1903.2</v>
      </c>
      <c r="K10" s="4">
        <f t="shared" si="3"/>
        <v>40.4099999999999</v>
      </c>
      <c r="L10" s="4">
        <v>1943.61</v>
      </c>
      <c r="M10" s="4">
        <f t="shared" si="4"/>
        <v>30.01</v>
      </c>
      <c r="N10" s="4">
        <v>1973.62</v>
      </c>
      <c r="O10" s="4">
        <f t="shared" si="5"/>
        <v>83.2800000000002</v>
      </c>
      <c r="P10" s="4">
        <v>2056.9</v>
      </c>
      <c r="Q10" s="4">
        <f t="shared" si="6"/>
        <v>330.48</v>
      </c>
      <c r="R10" s="11" t="s">
        <v>41</v>
      </c>
      <c r="S10" s="4">
        <v>461.67</v>
      </c>
      <c r="T10" s="12">
        <f t="shared" si="7"/>
        <v>0.636089639749137</v>
      </c>
      <c r="U10" s="4">
        <v>1.3</v>
      </c>
      <c r="V10" s="4">
        <v>50</v>
      </c>
    </row>
    <row r="11" spans="1:22">
      <c r="A11" s="1" t="s">
        <v>30</v>
      </c>
      <c r="B11" s="1" t="s">
        <v>42</v>
      </c>
      <c r="C11" s="1" t="s">
        <v>43</v>
      </c>
      <c r="D11" s="1">
        <v>1425.22</v>
      </c>
      <c r="E11" s="1">
        <f t="shared" si="0"/>
        <v>64.8599999999999</v>
      </c>
      <c r="F11" s="1">
        <v>1490.08</v>
      </c>
      <c r="G11" s="1">
        <f t="shared" si="1"/>
        <v>46</v>
      </c>
      <c r="H11" s="1">
        <v>1536.08</v>
      </c>
      <c r="I11" s="1">
        <f t="shared" si="2"/>
        <v>50.8500000000001</v>
      </c>
      <c r="J11" s="1">
        <v>1586.93</v>
      </c>
      <c r="K11" s="1">
        <f t="shared" si="3"/>
        <v>86.5599999999999</v>
      </c>
      <c r="L11" s="1">
        <v>1673.49</v>
      </c>
      <c r="M11" s="1">
        <f t="shared" si="4"/>
        <v>38.5599999999999</v>
      </c>
      <c r="N11" s="1">
        <v>1712.05</v>
      </c>
      <c r="O11" s="1">
        <f t="shared" si="5"/>
        <v>57.0900000000001</v>
      </c>
      <c r="P11" s="1">
        <v>1769.14</v>
      </c>
      <c r="Q11" s="1">
        <f t="shared" si="6"/>
        <v>343.92</v>
      </c>
      <c r="R11" s="13" t="s">
        <v>44</v>
      </c>
      <c r="S11" s="1">
        <v>427.57</v>
      </c>
      <c r="T11" s="14">
        <f t="shared" si="7"/>
        <v>0.684927919780232</v>
      </c>
      <c r="U11" s="1">
        <v>1.1</v>
      </c>
      <c r="V11" s="1">
        <v>15</v>
      </c>
    </row>
    <row r="12" spans="1:22">
      <c r="A12" s="1" t="s">
        <v>21</v>
      </c>
      <c r="B12" s="1" t="s">
        <v>45</v>
      </c>
      <c r="C12" s="1" t="s">
        <v>19</v>
      </c>
      <c r="D12" s="1">
        <v>1576.18</v>
      </c>
      <c r="E12" s="1">
        <f t="shared" si="0"/>
        <v>38.8399999999999</v>
      </c>
      <c r="F12" s="1">
        <v>1615.02</v>
      </c>
      <c r="G12" s="1">
        <f t="shared" si="1"/>
        <v>35.5999999999999</v>
      </c>
      <c r="H12" s="1">
        <v>1650.62</v>
      </c>
      <c r="I12" s="1">
        <f t="shared" si="2"/>
        <v>37.47</v>
      </c>
      <c r="J12" s="1">
        <v>1688.09</v>
      </c>
      <c r="K12" s="1">
        <f t="shared" si="3"/>
        <v>21.49</v>
      </c>
      <c r="L12" s="1">
        <v>1709.58</v>
      </c>
      <c r="M12" s="1">
        <f t="shared" si="4"/>
        <v>24.53</v>
      </c>
      <c r="N12" s="1">
        <v>1734.11</v>
      </c>
      <c r="O12" s="1">
        <f t="shared" si="5"/>
        <v>19.5300000000002</v>
      </c>
      <c r="P12" s="1">
        <v>1753.64</v>
      </c>
      <c r="Q12" s="1">
        <f t="shared" si="6"/>
        <v>177.46</v>
      </c>
      <c r="R12" s="13" t="s">
        <v>46</v>
      </c>
      <c r="S12" s="1">
        <v>407.37</v>
      </c>
      <c r="T12" s="14">
        <f t="shared" si="7"/>
        <v>0.658337275609589</v>
      </c>
      <c r="U12" s="1">
        <v>0</v>
      </c>
      <c r="V12" s="1">
        <v>0</v>
      </c>
    </row>
    <row r="13" spans="1:22">
      <c r="A13" s="1" t="s">
        <v>36</v>
      </c>
      <c r="B13" s="1" t="s">
        <v>47</v>
      </c>
      <c r="C13" s="1" t="s">
        <v>38</v>
      </c>
      <c r="D13" s="1">
        <v>1446.65</v>
      </c>
      <c r="E13" s="1">
        <f t="shared" si="0"/>
        <v>28.1799999999998</v>
      </c>
      <c r="F13" s="1">
        <v>1474.83</v>
      </c>
      <c r="G13" s="1">
        <f t="shared" si="1"/>
        <v>63.8200000000002</v>
      </c>
      <c r="H13" s="1">
        <v>1538.65</v>
      </c>
      <c r="I13" s="1">
        <f t="shared" si="2"/>
        <v>22.9199999999998</v>
      </c>
      <c r="J13" s="1">
        <v>1561.57</v>
      </c>
      <c r="K13" s="1">
        <f t="shared" si="3"/>
        <v>70.8600000000001</v>
      </c>
      <c r="L13" s="1">
        <v>1632.43</v>
      </c>
      <c r="M13" s="1">
        <f t="shared" si="4"/>
        <v>37.4099999999999</v>
      </c>
      <c r="N13" s="1">
        <v>1669.84</v>
      </c>
      <c r="O13" s="1">
        <f t="shared" si="5"/>
        <v>32.8300000000002</v>
      </c>
      <c r="P13" s="1">
        <v>1702.67</v>
      </c>
      <c r="Q13" s="1">
        <f t="shared" si="6"/>
        <v>256.02</v>
      </c>
      <c r="R13" s="13" t="s">
        <v>48</v>
      </c>
      <c r="S13" s="1">
        <v>669.37</v>
      </c>
      <c r="T13" s="14">
        <f t="shared" si="7"/>
        <v>1.11412932629341</v>
      </c>
      <c r="U13" s="1">
        <v>1.4</v>
      </c>
      <c r="V13" s="1">
        <v>65</v>
      </c>
    </row>
    <row r="14" spans="1:22">
      <c r="A14" s="1" t="s">
        <v>21</v>
      </c>
      <c r="B14" s="1" t="s">
        <v>49</v>
      </c>
      <c r="C14" s="1" t="s">
        <v>38</v>
      </c>
      <c r="D14" s="1">
        <v>1350.52</v>
      </c>
      <c r="E14" s="1">
        <f t="shared" si="0"/>
        <v>52.6800000000001</v>
      </c>
      <c r="F14" s="1">
        <v>1403.2</v>
      </c>
      <c r="G14" s="1">
        <f t="shared" si="1"/>
        <v>55.3199999999999</v>
      </c>
      <c r="H14" s="1">
        <v>1458.52</v>
      </c>
      <c r="I14" s="1">
        <f t="shared" si="2"/>
        <v>32.6800000000001</v>
      </c>
      <c r="J14" s="1">
        <v>1491.2</v>
      </c>
      <c r="K14" s="1">
        <f t="shared" si="3"/>
        <v>54.96</v>
      </c>
      <c r="L14" s="1">
        <v>1546.16</v>
      </c>
      <c r="M14" s="1">
        <f t="shared" si="4"/>
        <v>92.1299999999999</v>
      </c>
      <c r="N14" s="1">
        <v>1638.29</v>
      </c>
      <c r="O14" s="1">
        <f t="shared" si="5"/>
        <v>59.4400000000001</v>
      </c>
      <c r="P14" s="1">
        <v>1697.73</v>
      </c>
      <c r="Q14" s="1">
        <f t="shared" si="6"/>
        <v>347.21</v>
      </c>
      <c r="R14" s="13" t="s">
        <v>50</v>
      </c>
      <c r="S14" s="1">
        <v>545.82</v>
      </c>
      <c r="T14" s="14">
        <f t="shared" si="7"/>
        <v>0.911130674488876</v>
      </c>
      <c r="U14" s="1">
        <v>1.4</v>
      </c>
      <c r="V14" s="1">
        <v>65</v>
      </c>
    </row>
    <row r="15" spans="1:22">
      <c r="A15" s="1" t="s">
        <v>30</v>
      </c>
      <c r="B15" s="1" t="s">
        <v>51</v>
      </c>
      <c r="C15" s="1" t="s">
        <v>38</v>
      </c>
      <c r="D15" s="1">
        <v>1349.35</v>
      </c>
      <c r="E15" s="1">
        <f t="shared" si="0"/>
        <v>49.6200000000001</v>
      </c>
      <c r="F15" s="1">
        <v>1398.97</v>
      </c>
      <c r="G15" s="1">
        <f t="shared" si="1"/>
        <v>27.79</v>
      </c>
      <c r="H15" s="1">
        <v>1426.76</v>
      </c>
      <c r="I15" s="1">
        <f t="shared" si="2"/>
        <v>29.02</v>
      </c>
      <c r="J15" s="1">
        <v>1455.78</v>
      </c>
      <c r="K15" s="1">
        <f t="shared" si="3"/>
        <v>97.8800000000001</v>
      </c>
      <c r="L15" s="1">
        <v>1553.66</v>
      </c>
      <c r="M15" s="1">
        <f t="shared" si="4"/>
        <v>42.3599999999999</v>
      </c>
      <c r="N15" s="1">
        <v>1596.02</v>
      </c>
      <c r="O15" s="1">
        <f t="shared" si="5"/>
        <v>54.22</v>
      </c>
      <c r="P15" s="1">
        <v>1650.24</v>
      </c>
      <c r="Q15" s="1">
        <f t="shared" si="6"/>
        <v>300.89</v>
      </c>
      <c r="R15" s="13" t="s">
        <v>46</v>
      </c>
      <c r="S15" s="1">
        <v>402.48</v>
      </c>
      <c r="T15" s="14">
        <f t="shared" si="7"/>
        <v>0.691189354275742</v>
      </c>
      <c r="U15" s="1">
        <v>4</v>
      </c>
      <c r="V15" s="1">
        <v>20</v>
      </c>
    </row>
    <row r="16" spans="1:22">
      <c r="A16" s="1" t="s">
        <v>36</v>
      </c>
      <c r="B16" s="1" t="s">
        <v>52</v>
      </c>
      <c r="C16" s="1" t="s">
        <v>38</v>
      </c>
      <c r="D16" s="1">
        <v>1317.56</v>
      </c>
      <c r="E16" s="1">
        <f t="shared" si="0"/>
        <v>15.77</v>
      </c>
      <c r="F16" s="1">
        <v>1333.33</v>
      </c>
      <c r="G16" s="1">
        <f t="shared" si="1"/>
        <v>15.1700000000001</v>
      </c>
      <c r="H16" s="1">
        <v>1348.5</v>
      </c>
      <c r="I16" s="1">
        <f t="shared" si="2"/>
        <v>28.9300000000001</v>
      </c>
      <c r="J16" s="1">
        <v>1377.43</v>
      </c>
      <c r="K16" s="1">
        <f t="shared" si="3"/>
        <v>9.14999999999986</v>
      </c>
      <c r="L16" s="1">
        <v>1386.58</v>
      </c>
      <c r="M16" s="1">
        <f t="shared" si="4"/>
        <v>29.4100000000001</v>
      </c>
      <c r="N16" s="1">
        <v>1415.99</v>
      </c>
      <c r="O16" s="1">
        <f t="shared" si="5"/>
        <v>8.81999999999994</v>
      </c>
      <c r="P16" s="1">
        <v>1424.81</v>
      </c>
      <c r="Q16" s="1">
        <f t="shared" si="6"/>
        <v>107.25</v>
      </c>
      <c r="R16" s="13" t="s">
        <v>53</v>
      </c>
      <c r="S16" s="1">
        <v>271.82</v>
      </c>
      <c r="T16" s="14">
        <f t="shared" si="7"/>
        <v>0.540660073974776</v>
      </c>
      <c r="U16" s="1">
        <v>0</v>
      </c>
      <c r="V16" s="1">
        <v>0</v>
      </c>
    </row>
    <row r="17" spans="1:22">
      <c r="A17" s="1" t="s">
        <v>21</v>
      </c>
      <c r="B17" s="1" t="s">
        <v>54</v>
      </c>
      <c r="C17" s="1" t="s">
        <v>43</v>
      </c>
      <c r="D17" s="1">
        <v>1156.57</v>
      </c>
      <c r="E17" s="1">
        <f t="shared" si="0"/>
        <v>40.4400000000001</v>
      </c>
      <c r="F17" s="1">
        <v>1197.01</v>
      </c>
      <c r="G17" s="1">
        <f t="shared" si="1"/>
        <v>46.97</v>
      </c>
      <c r="H17" s="1">
        <v>1243.98</v>
      </c>
      <c r="I17" s="1">
        <f t="shared" si="2"/>
        <v>58.49</v>
      </c>
      <c r="J17" s="1">
        <v>1302.47</v>
      </c>
      <c r="K17" s="1">
        <f t="shared" si="3"/>
        <v>36.6399999999999</v>
      </c>
      <c r="L17" s="1">
        <v>1339.11</v>
      </c>
      <c r="M17" s="1">
        <f t="shared" si="4"/>
        <v>33.99</v>
      </c>
      <c r="N17" s="1">
        <v>1373.1</v>
      </c>
      <c r="O17" s="1">
        <f t="shared" si="5"/>
        <v>30.0600000000002</v>
      </c>
      <c r="P17" s="1">
        <v>1403.16</v>
      </c>
      <c r="Q17" s="1">
        <f t="shared" si="6"/>
        <v>246.59</v>
      </c>
      <c r="R17" s="13" t="s">
        <v>55</v>
      </c>
      <c r="S17" s="1">
        <v>342.27</v>
      </c>
      <c r="T17" s="14">
        <f t="shared" si="7"/>
        <v>0.691291926793808</v>
      </c>
      <c r="U17" s="1">
        <v>3</v>
      </c>
      <c r="V17" s="1">
        <v>25</v>
      </c>
    </row>
    <row r="18" spans="1:22">
      <c r="A18" s="1" t="s">
        <v>17</v>
      </c>
      <c r="B18" s="1" t="s">
        <v>56</v>
      </c>
      <c r="C18" s="1" t="s">
        <v>43</v>
      </c>
      <c r="D18" s="1">
        <v>1060.77</v>
      </c>
      <c r="E18" s="1">
        <f t="shared" si="0"/>
        <v>63.24</v>
      </c>
      <c r="F18" s="1">
        <v>1124.01</v>
      </c>
      <c r="G18" s="1">
        <f t="shared" si="1"/>
        <v>19.6700000000001</v>
      </c>
      <c r="H18" s="1">
        <v>1143.68</v>
      </c>
      <c r="I18" s="1">
        <f t="shared" si="2"/>
        <v>47.76</v>
      </c>
      <c r="J18" s="1">
        <v>1191.44</v>
      </c>
      <c r="K18" s="1">
        <f t="shared" si="3"/>
        <v>40.22</v>
      </c>
      <c r="L18" s="1">
        <v>1231.66</v>
      </c>
      <c r="M18" s="1">
        <f t="shared" si="4"/>
        <v>44.8</v>
      </c>
      <c r="N18" s="1">
        <v>1276.46</v>
      </c>
      <c r="O18" s="1">
        <f t="shared" si="5"/>
        <v>28.03</v>
      </c>
      <c r="P18" s="1">
        <v>1304.49</v>
      </c>
      <c r="Q18" s="1">
        <f t="shared" si="6"/>
        <v>243.72</v>
      </c>
      <c r="R18" s="13" t="s">
        <v>46</v>
      </c>
      <c r="S18" s="1">
        <v>257.82</v>
      </c>
      <c r="T18" s="14">
        <f t="shared" si="7"/>
        <v>0.560113055676931</v>
      </c>
      <c r="U18" s="1">
        <v>1.3</v>
      </c>
      <c r="V18" s="1">
        <v>10</v>
      </c>
    </row>
    <row r="19" spans="1:22">
      <c r="A19" s="1" t="s">
        <v>57</v>
      </c>
      <c r="B19" s="1" t="s">
        <v>58</v>
      </c>
      <c r="C19" s="1" t="s">
        <v>38</v>
      </c>
      <c r="D19" s="1">
        <v>953.78</v>
      </c>
      <c r="E19" s="1">
        <f t="shared" si="0"/>
        <v>28.97</v>
      </c>
      <c r="F19" s="1">
        <v>982.75</v>
      </c>
      <c r="G19" s="1">
        <f t="shared" si="1"/>
        <v>83.9300000000001</v>
      </c>
      <c r="H19" s="1">
        <v>1066.68</v>
      </c>
      <c r="I19" s="1">
        <f t="shared" si="2"/>
        <v>42.8399999999999</v>
      </c>
      <c r="J19" s="1">
        <v>1109.52</v>
      </c>
      <c r="K19" s="1">
        <f t="shared" si="3"/>
        <v>36.46</v>
      </c>
      <c r="L19" s="1">
        <v>1145.98</v>
      </c>
      <c r="M19" s="1">
        <f t="shared" si="4"/>
        <v>37.49</v>
      </c>
      <c r="N19" s="1">
        <v>1183.47</v>
      </c>
      <c r="O19" s="1">
        <f t="shared" si="5"/>
        <v>33.3699999999999</v>
      </c>
      <c r="P19" s="1">
        <v>1216.84</v>
      </c>
      <c r="Q19" s="1">
        <f t="shared" si="6"/>
        <v>263.06</v>
      </c>
      <c r="R19" s="13" t="s">
        <v>48</v>
      </c>
      <c r="S19" s="1">
        <v>429.37</v>
      </c>
      <c r="T19" s="14">
        <f t="shared" si="7"/>
        <v>0.999995545840045</v>
      </c>
      <c r="U19" s="1">
        <v>1</v>
      </c>
      <c r="V19" s="1">
        <v>30</v>
      </c>
    </row>
    <row r="20" spans="1:22">
      <c r="A20" s="1" t="s">
        <v>21</v>
      </c>
      <c r="B20" s="1" t="s">
        <v>59</v>
      </c>
      <c r="C20" s="1" t="s">
        <v>38</v>
      </c>
      <c r="D20" s="1">
        <v>907.94</v>
      </c>
      <c r="E20" s="1">
        <f t="shared" si="0"/>
        <v>64.0799999999999</v>
      </c>
      <c r="F20" s="1">
        <v>972.02</v>
      </c>
      <c r="G20" s="1">
        <f t="shared" si="1"/>
        <v>36.26</v>
      </c>
      <c r="H20" s="1">
        <v>1008.28</v>
      </c>
      <c r="I20" s="1">
        <f t="shared" si="2"/>
        <v>28.8</v>
      </c>
      <c r="J20" s="1">
        <v>1037.08</v>
      </c>
      <c r="K20" s="1">
        <f t="shared" si="3"/>
        <v>40.1000000000001</v>
      </c>
      <c r="L20" s="1">
        <v>1077.18</v>
      </c>
      <c r="M20" s="1">
        <f t="shared" si="4"/>
        <v>26.03</v>
      </c>
      <c r="N20" s="1">
        <v>1103.21</v>
      </c>
      <c r="O20" s="1">
        <f t="shared" si="5"/>
        <v>28.3499999999999</v>
      </c>
      <c r="P20" s="1">
        <v>1131.56</v>
      </c>
      <c r="Q20" s="1">
        <f t="shared" si="6"/>
        <v>223.62</v>
      </c>
      <c r="R20" s="13" t="s">
        <v>24</v>
      </c>
      <c r="S20" s="1">
        <v>377.22</v>
      </c>
      <c r="T20" s="14">
        <f t="shared" si="7"/>
        <v>0.944750150235074</v>
      </c>
      <c r="U20" s="1">
        <v>8.6</v>
      </c>
      <c r="V20" s="1">
        <v>35</v>
      </c>
    </row>
    <row r="21" spans="1:22">
      <c r="A21" s="1" t="s">
        <v>60</v>
      </c>
      <c r="B21" s="1" t="s">
        <v>61</v>
      </c>
      <c r="C21" s="1" t="s">
        <v>43</v>
      </c>
      <c r="D21" s="1">
        <v>950.09</v>
      </c>
      <c r="E21" s="1">
        <f t="shared" si="0"/>
        <v>42.4</v>
      </c>
      <c r="F21" s="1">
        <v>992.49</v>
      </c>
      <c r="G21" s="1">
        <f t="shared" si="1"/>
        <v>38.5899999999999</v>
      </c>
      <c r="H21" s="1">
        <v>1031.08</v>
      </c>
      <c r="I21" s="1">
        <f t="shared" si="2"/>
        <v>22.6000000000001</v>
      </c>
      <c r="J21" s="1">
        <v>1053.68</v>
      </c>
      <c r="K21" s="1">
        <f t="shared" si="3"/>
        <v>10.9299999999998</v>
      </c>
      <c r="L21" s="1">
        <v>1064.61</v>
      </c>
      <c r="M21" s="1">
        <f t="shared" si="4"/>
        <v>16.1800000000001</v>
      </c>
      <c r="N21" s="1">
        <v>1080.79</v>
      </c>
      <c r="O21" s="1">
        <f t="shared" si="5"/>
        <v>13.6700000000001</v>
      </c>
      <c r="P21" s="1">
        <v>1094.46</v>
      </c>
      <c r="Q21" s="1">
        <f t="shared" si="6"/>
        <v>144.37</v>
      </c>
      <c r="R21" s="13" t="s">
        <v>62</v>
      </c>
      <c r="S21" s="1">
        <v>417.17</v>
      </c>
      <c r="T21" s="14">
        <f t="shared" si="7"/>
        <v>1.08022200902728</v>
      </c>
      <c r="U21" s="1">
        <v>3</v>
      </c>
      <c r="V21" s="1">
        <v>10</v>
      </c>
    </row>
    <row r="22" spans="1:22">
      <c r="A22" s="1" t="s">
        <v>30</v>
      </c>
      <c r="B22" s="1" t="s">
        <v>63</v>
      </c>
      <c r="C22" s="1" t="s">
        <v>43</v>
      </c>
      <c r="D22" s="1">
        <v>848.93</v>
      </c>
      <c r="E22" s="1">
        <f t="shared" si="0"/>
        <v>34.5600000000001</v>
      </c>
      <c r="F22" s="1">
        <v>883.49</v>
      </c>
      <c r="G22" s="1">
        <f t="shared" si="1"/>
        <v>46.08</v>
      </c>
      <c r="H22" s="1">
        <v>929.57</v>
      </c>
      <c r="I22" s="1">
        <f t="shared" si="2"/>
        <v>27.7399999999999</v>
      </c>
      <c r="J22" s="1">
        <v>957.31</v>
      </c>
      <c r="K22" s="1">
        <f t="shared" si="3"/>
        <v>47.36</v>
      </c>
      <c r="L22" s="1">
        <v>1004.67</v>
      </c>
      <c r="M22" s="1">
        <f t="shared" si="4"/>
        <v>25.9399999999999</v>
      </c>
      <c r="N22" s="1">
        <v>1030.61</v>
      </c>
      <c r="O22" s="1">
        <f t="shared" si="5"/>
        <v>37.71</v>
      </c>
      <c r="P22" s="1">
        <v>1068.32</v>
      </c>
      <c r="Q22" s="1">
        <f t="shared" si="6"/>
        <v>219.39</v>
      </c>
      <c r="R22" s="13" t="s">
        <v>48</v>
      </c>
      <c r="S22" s="1">
        <v>364.12</v>
      </c>
      <c r="T22" s="14">
        <f t="shared" si="7"/>
        <v>0.965924142579003</v>
      </c>
      <c r="U22" s="1">
        <v>3.2</v>
      </c>
      <c r="V22" s="1">
        <v>20</v>
      </c>
    </row>
    <row r="23" spans="1:22">
      <c r="A23" s="1" t="s">
        <v>57</v>
      </c>
      <c r="B23" s="1" t="s">
        <v>64</v>
      </c>
      <c r="C23" s="1" t="s">
        <v>65</v>
      </c>
      <c r="D23" s="1">
        <v>927.15</v>
      </c>
      <c r="E23" s="1">
        <f t="shared" si="0"/>
        <v>17.9300000000001</v>
      </c>
      <c r="F23" s="1">
        <v>945.08</v>
      </c>
      <c r="G23" s="1">
        <f t="shared" si="1"/>
        <v>24.04</v>
      </c>
      <c r="H23" s="1">
        <v>969.12</v>
      </c>
      <c r="I23" s="1">
        <f t="shared" si="2"/>
        <v>26.96</v>
      </c>
      <c r="J23" s="1">
        <v>996.08</v>
      </c>
      <c r="K23" s="1">
        <f t="shared" si="3"/>
        <v>23.3499999999999</v>
      </c>
      <c r="L23" s="1">
        <v>1019.43</v>
      </c>
      <c r="M23" s="1">
        <f t="shared" si="4"/>
        <v>23.7400000000001</v>
      </c>
      <c r="N23" s="1">
        <v>1043.17</v>
      </c>
      <c r="O23" s="1">
        <f t="shared" si="5"/>
        <v>24.99</v>
      </c>
      <c r="P23" s="1">
        <v>1068.16</v>
      </c>
      <c r="Q23" s="1">
        <f t="shared" si="6"/>
        <v>141.01</v>
      </c>
      <c r="R23" s="13" t="s">
        <v>44</v>
      </c>
      <c r="S23" s="1">
        <v>312.62</v>
      </c>
      <c r="T23" s="14">
        <f t="shared" si="7"/>
        <v>0.829431059017376</v>
      </c>
      <c r="U23" s="1">
        <v>1.1</v>
      </c>
      <c r="V23" s="1">
        <v>10</v>
      </c>
    </row>
    <row r="24" spans="1:22">
      <c r="A24" s="5" t="s">
        <v>25</v>
      </c>
      <c r="B24" s="5" t="s">
        <v>66</v>
      </c>
      <c r="C24" s="5" t="s">
        <v>65</v>
      </c>
      <c r="D24" s="5">
        <v>552.79</v>
      </c>
      <c r="E24" s="5">
        <f t="shared" si="0"/>
        <v>15.9400000000001</v>
      </c>
      <c r="F24" s="5">
        <v>568.73</v>
      </c>
      <c r="G24" s="5">
        <f t="shared" si="1"/>
        <v>1.61000000000001</v>
      </c>
      <c r="H24" s="5">
        <v>570.34</v>
      </c>
      <c r="I24" s="5">
        <f t="shared" si="2"/>
        <v>7.13999999999999</v>
      </c>
      <c r="J24" s="5">
        <v>577.48</v>
      </c>
      <c r="K24" s="5">
        <f t="shared" si="3"/>
        <v>2.88999999999999</v>
      </c>
      <c r="L24" s="5">
        <v>580.37</v>
      </c>
      <c r="M24" s="5">
        <f t="shared" si="4"/>
        <v>2.55999999999995</v>
      </c>
      <c r="N24" s="5">
        <v>582.93</v>
      </c>
      <c r="O24" s="5">
        <f t="shared" si="5"/>
        <v>24.99</v>
      </c>
      <c r="P24" s="5">
        <v>607.92</v>
      </c>
      <c r="Q24" s="5">
        <f t="shared" si="6"/>
        <v>55.13</v>
      </c>
      <c r="R24" s="15" t="s">
        <v>44</v>
      </c>
      <c r="S24" s="5">
        <v>135.65</v>
      </c>
      <c r="T24" s="16">
        <f t="shared" si="7"/>
        <v>0.632372845111199</v>
      </c>
      <c r="U24" s="5">
        <v>0.5</v>
      </c>
      <c r="V24" s="5">
        <v>0</v>
      </c>
    </row>
    <row r="25" spans="1:22">
      <c r="A25" s="5" t="s">
        <v>30</v>
      </c>
      <c r="B25" s="5" t="s">
        <v>67</v>
      </c>
      <c r="C25" s="5" t="s">
        <v>43</v>
      </c>
      <c r="D25" s="5">
        <v>407.35</v>
      </c>
      <c r="E25" s="5">
        <f t="shared" si="0"/>
        <v>13.86</v>
      </c>
      <c r="F25" s="5">
        <v>421.21</v>
      </c>
      <c r="G25" s="5">
        <f t="shared" si="1"/>
        <v>16.43</v>
      </c>
      <c r="H25" s="5">
        <v>437.64</v>
      </c>
      <c r="I25" s="5">
        <f t="shared" si="2"/>
        <v>13.64</v>
      </c>
      <c r="J25" s="5">
        <v>451.28</v>
      </c>
      <c r="K25" s="5">
        <f t="shared" si="3"/>
        <v>11.6</v>
      </c>
      <c r="L25" s="5">
        <v>462.88</v>
      </c>
      <c r="M25" s="5">
        <f t="shared" si="4"/>
        <v>47.68</v>
      </c>
      <c r="N25" s="5">
        <v>510.56</v>
      </c>
      <c r="O25" s="5">
        <f t="shared" si="5"/>
        <v>20.51</v>
      </c>
      <c r="P25" s="5">
        <v>531.07</v>
      </c>
      <c r="Q25" s="5">
        <f t="shared" si="6"/>
        <v>123.72</v>
      </c>
      <c r="R25" s="15" t="s">
        <v>68</v>
      </c>
      <c r="S25" s="5">
        <v>230.81</v>
      </c>
      <c r="T25" s="16">
        <f t="shared" si="7"/>
        <v>1.2316936373736</v>
      </c>
      <c r="U25" s="5">
        <v>2.4</v>
      </c>
      <c r="V25" s="5">
        <v>30</v>
      </c>
    </row>
    <row r="26" spans="1:22">
      <c r="A26" s="5" t="s">
        <v>21</v>
      </c>
      <c r="B26" s="5" t="s">
        <v>69</v>
      </c>
      <c r="C26" s="5" t="s">
        <v>70</v>
      </c>
      <c r="D26" s="5">
        <v>363.88</v>
      </c>
      <c r="E26" s="5">
        <f t="shared" si="0"/>
        <v>14.21</v>
      </c>
      <c r="F26" s="5">
        <v>378.09</v>
      </c>
      <c r="G26" s="5">
        <f t="shared" si="1"/>
        <v>11.22</v>
      </c>
      <c r="H26" s="5">
        <v>389.31</v>
      </c>
      <c r="I26" s="5">
        <f t="shared" si="2"/>
        <v>13.62</v>
      </c>
      <c r="J26" s="5">
        <v>402.93</v>
      </c>
      <c r="K26" s="5">
        <f t="shared" si="3"/>
        <v>11.13</v>
      </c>
      <c r="L26" s="5">
        <v>414.06</v>
      </c>
      <c r="M26" s="5">
        <f t="shared" si="4"/>
        <v>17.39</v>
      </c>
      <c r="N26" s="5">
        <v>431.45</v>
      </c>
      <c r="O26" s="5">
        <f t="shared" si="5"/>
        <v>6.32999999999998</v>
      </c>
      <c r="P26" s="5">
        <v>437.78</v>
      </c>
      <c r="Q26" s="5">
        <f t="shared" si="6"/>
        <v>73.9</v>
      </c>
      <c r="R26" s="15" t="s">
        <v>44</v>
      </c>
      <c r="S26" s="5">
        <v>115.25</v>
      </c>
      <c r="T26" s="16">
        <f t="shared" si="7"/>
        <v>0.746079080816849</v>
      </c>
      <c r="U26" s="5">
        <v>1</v>
      </c>
      <c r="V26" s="5">
        <v>0</v>
      </c>
    </row>
    <row r="27" spans="1:22">
      <c r="A27" s="5" t="s">
        <v>36</v>
      </c>
      <c r="B27" s="5" t="s">
        <v>71</v>
      </c>
      <c r="C27" s="5" t="s">
        <v>65</v>
      </c>
      <c r="D27" s="5">
        <v>305.29</v>
      </c>
      <c r="E27" s="5">
        <f t="shared" si="0"/>
        <v>17.97</v>
      </c>
      <c r="F27" s="5">
        <v>323.26</v>
      </c>
      <c r="G27" s="5">
        <f t="shared" si="1"/>
        <v>10.82</v>
      </c>
      <c r="H27" s="5">
        <v>334.08</v>
      </c>
      <c r="I27" s="5">
        <f t="shared" si="2"/>
        <v>16.2</v>
      </c>
      <c r="J27" s="5">
        <v>350.28</v>
      </c>
      <c r="K27" s="5">
        <f t="shared" si="3"/>
        <v>10.8</v>
      </c>
      <c r="L27" s="5">
        <v>361.08</v>
      </c>
      <c r="M27" s="5">
        <f t="shared" si="4"/>
        <v>9.98000000000002</v>
      </c>
      <c r="N27" s="5">
        <v>371.06</v>
      </c>
      <c r="O27" s="5">
        <f t="shared" si="5"/>
        <v>10.17</v>
      </c>
      <c r="P27" s="5">
        <v>381.23</v>
      </c>
      <c r="Q27" s="5">
        <f t="shared" si="6"/>
        <v>75.94</v>
      </c>
      <c r="R27" s="15" t="s">
        <v>44</v>
      </c>
      <c r="S27" s="5">
        <v>92.77</v>
      </c>
      <c r="T27" s="16">
        <f t="shared" si="7"/>
        <v>0.689636649791464</v>
      </c>
      <c r="U27" s="5">
        <v>1</v>
      </c>
      <c r="V27" s="5">
        <v>0</v>
      </c>
    </row>
    <row r="28" spans="1:22">
      <c r="A28" s="5" t="s">
        <v>57</v>
      </c>
      <c r="B28" s="5" t="s">
        <v>72</v>
      </c>
      <c r="C28" s="5" t="s">
        <v>65</v>
      </c>
      <c r="D28" s="5">
        <v>262.39</v>
      </c>
      <c r="E28" s="5">
        <f t="shared" si="0"/>
        <v>11.5</v>
      </c>
      <c r="F28" s="5">
        <v>273.89</v>
      </c>
      <c r="G28" s="5">
        <f t="shared" si="1"/>
        <v>13.97</v>
      </c>
      <c r="H28" s="5">
        <v>287.86</v>
      </c>
      <c r="I28" s="5">
        <f t="shared" si="2"/>
        <v>16.24</v>
      </c>
      <c r="J28" s="5">
        <v>304.1</v>
      </c>
      <c r="K28" s="5">
        <f t="shared" si="3"/>
        <v>12.65</v>
      </c>
      <c r="L28" s="5">
        <v>316.75</v>
      </c>
      <c r="M28" s="5">
        <f t="shared" si="4"/>
        <v>9.99000000000001</v>
      </c>
      <c r="N28" s="5">
        <v>326.74</v>
      </c>
      <c r="O28" s="5">
        <f t="shared" si="5"/>
        <v>6.31999999999999</v>
      </c>
      <c r="P28" s="5">
        <v>333.06</v>
      </c>
      <c r="Q28" s="5">
        <f t="shared" si="6"/>
        <v>70.67</v>
      </c>
      <c r="R28" s="15" t="s">
        <v>50</v>
      </c>
      <c r="S28" s="5">
        <v>111.04</v>
      </c>
      <c r="T28" s="16">
        <f t="shared" si="7"/>
        <v>0.944836846213895</v>
      </c>
      <c r="U28" s="5">
        <v>1</v>
      </c>
      <c r="V28" s="5">
        <v>0</v>
      </c>
    </row>
    <row r="31" spans="1:20">
      <c r="A31" t="s">
        <v>73</v>
      </c>
      <c r="B31" t="s">
        <v>74</v>
      </c>
      <c r="C31" s="6" t="s">
        <v>75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17"/>
      <c r="S31" s="17"/>
      <c r="T31" s="17"/>
    </row>
    <row r="32" spans="1:2">
      <c r="A32" t="s">
        <v>70</v>
      </c>
      <c r="B32" t="s">
        <v>76</v>
      </c>
    </row>
    <row r="33" spans="1:2">
      <c r="A33" t="s">
        <v>65</v>
      </c>
      <c r="B33" t="s">
        <v>77</v>
      </c>
    </row>
    <row r="34" spans="1:22">
      <c r="A34" t="s">
        <v>43</v>
      </c>
      <c r="B34" t="s">
        <v>78</v>
      </c>
      <c r="C34" s="6" t="s">
        <v>79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18"/>
      <c r="T34" s="18"/>
      <c r="U34" s="18"/>
      <c r="V34" s="18"/>
    </row>
    <row r="35" spans="1:2">
      <c r="A35" t="s">
        <v>38</v>
      </c>
      <c r="B35" t="s">
        <v>80</v>
      </c>
    </row>
    <row r="36" spans="1:2">
      <c r="A36" t="s">
        <v>29</v>
      </c>
      <c r="B36" t="s">
        <v>81</v>
      </c>
    </row>
    <row r="37" spans="1:2">
      <c r="A37" t="s">
        <v>23</v>
      </c>
      <c r="B37" t="s">
        <v>82</v>
      </c>
    </row>
    <row r="38" spans="1:2">
      <c r="A38" t="s">
        <v>19</v>
      </c>
      <c r="B38" t="s">
        <v>83</v>
      </c>
    </row>
    <row r="39" spans="1:2">
      <c r="A39" t="s">
        <v>84</v>
      </c>
      <c r="B39" t="s">
        <v>85</v>
      </c>
    </row>
    <row r="40" spans="1:2">
      <c r="A40" t="s">
        <v>86</v>
      </c>
      <c r="B40" t="s">
        <v>87</v>
      </c>
    </row>
    <row r="45" spans="1:1">
      <c r="A45" t="s">
        <v>88</v>
      </c>
    </row>
  </sheetData>
  <sortState ref="A2:T28">
    <sortCondition ref="P4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2025-05-13T07:38:08Z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