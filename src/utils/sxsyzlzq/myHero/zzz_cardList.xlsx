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50" windowHeight="10425"/>
  </bookViews>
  <sheets>
    <sheet name="帝国" sheetId="5" r:id="rId1"/>
    <sheet name="隐秘" sheetId="6" r:id="rId2"/>
    <sheet name="港口" sheetId="20" r:id="rId3"/>
    <sheet name="禅意" sheetId="7" r:id="rId4"/>
    <sheet name="阿斯塔拉" sheetId="2" r:id="rId5"/>
    <sheet name="伊萝莲" sheetId="1" r:id="rId6"/>
    <sheet name="格纳洛尔" sheetId="22" r:id="rId7"/>
    <sheet name="摩根" sheetId="23" r:id="rId8"/>
    <sheet name="洛" sheetId="11" r:id="rId9"/>
    <sheet name="洞察表" sheetId="14" r:id="rId10"/>
    <sheet name="护甲表" sheetId="19" r:id="rId11"/>
    <sheet name="到18级还差多少张卡" sheetId="16" r:id="rId12"/>
    <sheet name="卡等需求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<sst xmlns="http://schemas.openxmlformats.org/spreadsheetml/2006/main" count="1315" uniqueCount="485">
  <si>
    <t>名称</t>
  </si>
  <si>
    <t>费用</t>
  </si>
  <si>
    <t>卡等</t>
  </si>
  <si>
    <t>圣殿斥候</t>
  </si>
  <si>
    <t>天使琼浆</t>
  </si>
  <si>
    <t>圣殿弩手</t>
  </si>
  <si>
    <t>田园守望者</t>
  </si>
  <si>
    <t>增援战线</t>
  </si>
  <si>
    <t>光明惩戒</t>
  </si>
  <si>
    <t>小计：</t>
  </si>
  <si>
    <t>蓝色卡等：</t>
  </si>
  <si>
    <t>四芒军旗</t>
  </si>
  <si>
    <t>圣殿御卫</t>
  </si>
  <si>
    <t>召集护卫</t>
  </si>
  <si>
    <t>夺取阵地</t>
  </si>
  <si>
    <t>惩戒天使</t>
  </si>
  <si>
    <t>紫色卡等：</t>
  </si>
  <si>
    <t>曙光·安娜贝尔</t>
  </si>
  <si>
    <t>圣枪·卡洛琳</t>
  </si>
  <si>
    <t>明日之音·露娜</t>
  </si>
  <si>
    <t>正阳大主教·伊恩</t>
  </si>
  <si>
    <t>橙色卡等：</t>
  </si>
  <si>
    <t>总计：</t>
  </si>
  <si>
    <t>帝国卡等：</t>
  </si>
  <si>
    <t>洞悉之眼</t>
  </si>
  <si>
    <t>学仆-观测型</t>
  </si>
  <si>
    <t>沉重否定</t>
  </si>
  <si>
    <t>全数否定</t>
  </si>
  <si>
    <t>破魔系教授</t>
  </si>
  <si>
    <t>克隆术</t>
  </si>
  <si>
    <t>学仆-脉冲型</t>
  </si>
  <si>
    <t>观星台大预言家</t>
  </si>
  <si>
    <t>米拉方舟</t>
  </si>
  <si>
    <t>鬼童-7号</t>
  </si>
  <si>
    <t>No.2时光·米拉</t>
  </si>
  <si>
    <t>隐秘卡等：</t>
  </si>
  <si>
    <t>心灵黑洞</t>
  </si>
  <si>
    <t>狡诈学徒</t>
  </si>
  <si>
    <t>黑夜突袭</t>
  </si>
  <si>
    <t>黑金勒索者</t>
  </si>
  <si>
    <t>热血矿工</t>
  </si>
  <si>
    <t>不法交易</t>
  </si>
  <si>
    <t>红海猎魔人</t>
  </si>
  <si>
    <t>海神赐福</t>
  </si>
  <si>
    <t>黑金诈术师</t>
  </si>
  <si>
    <t>海燕·鲍莉</t>
  </si>
  <si>
    <t>魔卡幻术师·梅基</t>
  </si>
  <si>
    <t>赤影·艾希尔</t>
  </si>
  <si>
    <t>禅意卡等：</t>
  </si>
  <si>
    <t>长耳庄巧姑</t>
  </si>
  <si>
    <t>飓风术</t>
  </si>
  <si>
    <t>连击</t>
  </si>
  <si>
    <t>铁山靠</t>
  </si>
  <si>
    <t>风铃道人</t>
  </si>
  <si>
    <t>蟠桃隐士</t>
  </si>
  <si>
    <t>驱魔道人</t>
  </si>
  <si>
    <t>墨轩隐士</t>
  </si>
  <si>
    <t>蟠桃会</t>
  </si>
  <si>
    <t>万物之灵</t>
  </si>
  <si>
    <t>神机玄女·轩</t>
  </si>
  <si>
    <t>悟能禅杖</t>
  </si>
  <si>
    <t>花光春影·安娜贝尔</t>
  </si>
  <si>
    <t>流星-7号</t>
  </si>
  <si>
    <t>春花使者·卡洛琳</t>
  </si>
  <si>
    <t>明日香·露娜</t>
  </si>
  <si>
    <t>月之神·米拉</t>
  </si>
  <si>
    <t>白袍·伊恩</t>
  </si>
  <si>
    <t>总卡等：</t>
  </si>
  <si>
    <t>武圣·云长</t>
  </si>
  <si>
    <t>酗酒醉汉</t>
  </si>
  <si>
    <t>占卜命运</t>
  </si>
  <si>
    <t>走私狂徒</t>
  </si>
  <si>
    <t>快乐使者</t>
  </si>
  <si>
    <t>先发制人</t>
  </si>
  <si>
    <t>学仆-猛禽型</t>
  </si>
  <si>
    <t>黑水伏击</t>
  </si>
  <si>
    <t>风卷残云</t>
  </si>
  <si>
    <t>九天玄女·轩</t>
  </si>
  <si>
    <t>上宝沁金耙</t>
  </si>
  <si>
    <t>滑板少年·迪宁</t>
  </si>
  <si>
    <t>种族</t>
  </si>
  <si>
    <t>品质</t>
  </si>
  <si>
    <t>描述（20级数值）</t>
  </si>
  <si>
    <t>帝国</t>
  </si>
  <si>
    <t>蓝色</t>
  </si>
  <si>
    <t>(22/18)：【洞察1】、【协战8】。</t>
  </si>
  <si>
    <t>圣殿卫士</t>
  </si>
  <si>
    <t>(25/30)：【洞察1】、【回命】。</t>
  </si>
  <si>
    <t>(法术)：【洞察1】、英雄生命+66、抓一张牌、获得《真理石残片》。</t>
  </si>
  <si>
    <t>大型弩车</t>
  </si>
  <si>
    <t>(0/60)：【洞察1】、【协战25】。</t>
  </si>
  <si>
    <t>(法术)：【洞察1】、召唤3个12/12民兵-lv17，75%概率再召唤一个。</t>
  </si>
  <si>
    <t>塔楼弓手</t>
  </si>
  <si>
    <t>(30/15)：【先攻】、洞察时:自身+6/+4、死亡:【洞察1】。</t>
  </si>
  <si>
    <t>(20/28)：【洞察1】、洞察时:自身+5/+5，英雄获得生命（等同自身攻击）。</t>
  </si>
  <si>
    <t>精英射手</t>
  </si>
  <si>
    <t>(35/22)：【洞察1】、【先攻】、【协战9】。</t>
  </si>
  <si>
    <t>(法术)：【洞察1】、横排所有敌军受到150点伤害、50%概率获得《真理碎片》。</t>
  </si>
  <si>
    <t>紫色</t>
  </si>
  <si>
    <t>(20/32)：【洞察1】、命中英雄:召唤16/8警卫-lv15。</t>
  </si>
  <si>
    <t>边境高墙</t>
  </si>
  <si>
    <t>(0/85)：【守军】、【磐龙】、【护甲8】、回合结束:【洞察1】，若场上有冰封，自身生命+15。</t>
  </si>
  <si>
    <t>冲锋装备</t>
  </si>
  <si>
    <t>(法术)：【洞察1】、目标友军+27/+27、并获得【护甲14】。</t>
  </si>
  <si>
    <t>圣殿卫队长</t>
  </si>
  <si>
    <t>(30/60)：【回命】、命中英雄:召唤16/21圣殿卫士-lv16。</t>
  </si>
  <si>
    <t>(法术)：【洞察1】、将横排敌军移回玩家手上、友军横排召唤21/9警卫-lv18。</t>
  </si>
  <si>
    <t>(法术)：【洞察1】、在目标位置和随机位置，召唤3/60圣堂门卫-lv20、护甲友军攻击+12，获得【磐龙】1回合。</t>
  </si>
  <si>
    <t>皇家射手</t>
  </si>
  <si>
    <t>(40/20)：【先攻】、【洞察1】、回合开始:召唤25/12塔楼弓手-lv18（次数上限：3）。</t>
  </si>
  <si>
    <t>(40/80)：【回命】、【洞察3】、登场:消灭对面横排首位新进场敌军。</t>
  </si>
  <si>
    <t>禁卫指挥官</t>
  </si>
  <si>
    <t>(30/54)：【洞察1】、【护甲8】、洞察时：全体友军+6/+6。</t>
  </si>
  <si>
    <t>橙色</t>
  </si>
  <si>
    <t>(20/32)：【洞察2】、攻击前:所有友军+6/+6，魔防+3。（皮肤：命中时：另一友军+1/+1。）</t>
  </si>
  <si>
    <t>百花长枪·卡洛琳</t>
  </si>
  <si>
    <t>(36/36)：【回命】、【神佑】、【护甲15】。（皮肤：命中时：【洞察1】，50几率英雄生命额外+10。）</t>
  </si>
  <si>
    <t>(0/20)：【魔防20】、同横排其他单位不会攻击（无视神佑和魔免）、回合结束:【洞察1】、另一友军+7/+15。（皮肤：登场：其他全体友军，攻击+3，本回合护甲+X（X等同露娜等级）。）</t>
  </si>
  <si>
    <t>(20/70)：登场:英雄生命+70、英雄获得生命:回复效果加倍，自身+3/+13，其他友军+4/+4。（皮肤：【洞察1】、洞察时：自身魔防+2，其他友军攻击+1。）</t>
  </si>
  <si>
    <t>隐秘</t>
  </si>
  <si>
    <t>(法术)：【洞察1】、英雄生命+30。</t>
  </si>
  <si>
    <t>方尖魔碑</t>
  </si>
  <si>
    <t>(0/40)：【守军】、敌方法力上限-1、回合结束:70%几率【洞察1】。</t>
  </si>
  <si>
    <t>(22/32)：洞察时：自身+4/+4、死亡：【洞察1】，英雄恢复生命（等同攻击力）。</t>
  </si>
  <si>
    <t>(法术)：【洞察1】、横排敌军攻击-33。</t>
  </si>
  <si>
    <t>学仆-渗透型</t>
  </si>
  <si>
    <t>(35/35)：【洞察1】、【穿透】、【护甲8】。</t>
  </si>
  <si>
    <t>请示隐秘者</t>
  </si>
  <si>
    <t>(法术)：【洞察1】、抽2张牌、随机友军生命+66、充能:多抽一张牌。</t>
  </si>
  <si>
    <t>隐形术</t>
  </si>
  <si>
    <t>(法术)：【洞察1】、目标单位+23/+23，获得【隐形】。</t>
  </si>
  <si>
    <t>(21/27)：【洞察1】、登场:沉默随机敌军、命中时:65%几率【洞察1】、回合结束:35%几率沉默随机敌军。</t>
  </si>
  <si>
    <t>(法术)：【洞察1】、复制目标单位到手上，英雄生命+40。</t>
  </si>
  <si>
    <t>神秘学教授</t>
  </si>
  <si>
    <t>(13/33)：每当一个敌军死亡:获得【洞悉之眼-lv20】（每次对战仅可触发3次）。</t>
  </si>
  <si>
    <t>(27/15)：【先攻】、命中时：【洞察1】、洞察时：全体先攻友军攻击+9。</t>
  </si>
  <si>
    <t>(16/30)：【洞察1】、洞察时：自身+3/+8，射击英雄。</t>
  </si>
  <si>
    <t>白首魔根</t>
  </si>
  <si>
    <t>(17/67)：【洞察1】、【魔免】、回合结束:自身攻击加倍。</t>
  </si>
  <si>
    <t>幻域秘树</t>
  </si>
  <si>
    <t>(0/54)：【洞察1】、【魔防6】、法力上限+2、回合开始:随机敌军-x/-x(x为你的法力)。</t>
  </si>
  <si>
    <t>学仆-塑钢型</t>
  </si>
  <si>
    <t>(38/38)：【磐龙】、【护甲15】、洞察时：自身+3/+6，护甲+3。</t>
  </si>
  <si>
    <t>(20/35)：【洞察1】、【魔防20】、洞察时：抽一张牌。</t>
  </si>
  <si>
    <t>(50/100)：【洞察1】、【磐龙】、【穿透】、【护甲15】、【魔防15】、洞察时：获得《渗透型》lv20、护甲友军死亡：自身+8/+24。</t>
  </si>
  <si>
    <t>(29/25)：法力上限+3，你的法术卡使用后，移回手上、死亡:自身回手，75%概率获得沉默术-lv11。（皮肤：【洞察1】、洞察时：英雄生命+3。）</t>
  </si>
  <si>
    <t>(25/25)：【魔防15】、【先攻】、回合开始：全体先攻友军+4/+4、获得【连击】1回合。（皮肤：登场：【洞察1】、全体先攻友军获得【隐形】和【神佑】1回合。）</t>
  </si>
  <si>
    <t>禅意</t>
  </si>
  <si>
    <t>(14/15)：【洞察1】、【传承10】、法力上限+1。</t>
  </si>
  <si>
    <t>(法术)：【洞察1】、目标敌军吹回手上、英雄生命+36。</t>
  </si>
  <si>
    <t>锁妖塔守卫</t>
  </si>
  <si>
    <t>(30/30)：【洞察1】、【法力封锁1】。</t>
  </si>
  <si>
    <t>(法术)：【洞察1】、目标友军加攻，等同其一半生命值、另一友军生命+24、75%几率抽一张牌。</t>
  </si>
  <si>
    <t>明月曲</t>
  </si>
  <si>
    <t>(法术)：【洞察1】、7个友军+7/+7、抽一张牌。</t>
  </si>
  <si>
    <t>(29/29)：【洞察1】、登场:吹回随机敌军。</t>
  </si>
  <si>
    <t>(0/60)：【洞察1】、回合结束:获得手牌:仙桃-lv20。</t>
  </si>
  <si>
    <t>(28/29)：【洞察1】、【神佑】、命中时:自身+4/+4。</t>
  </si>
  <si>
    <t>(7/60)：【洞察1】、法力上限+1、回合结束:复制场上另一单位，到你手上。</t>
  </si>
  <si>
    <t>(法术)：【洞察1】、抓3张牌，英雄生命+50、随机一个友军+9/+9。</t>
  </si>
  <si>
    <t>摇钱尊者</t>
  </si>
  <si>
    <t>(20/125)：【洞察1】、【磐龙】、回合结束:若本回合受到过伤害，抽一张牌。</t>
  </si>
  <si>
    <t>(16/26)：【洞察2】、命中:【洞察2】、洞察时:全体友军+2/+5，全体敌军-2/-2。（皮肤：登场时：本回合获得【穿透】。）</t>
  </si>
  <si>
    <t>港口</t>
  </si>
  <si>
    <t>(23/18)：【洞察1】、登场:吹回对面首位新进场敌军、洞察时自身攻击+5。</t>
  </si>
  <si>
    <t>黑夜射手</t>
  </si>
  <si>
    <t>(24/24)：命中英雄:【洞察1】，随机敌军受到9点伤害。</t>
  </si>
  <si>
    <t>亡命之徒</t>
  </si>
  <si>
    <t>(29/10)：【洞察1】、【暴露1】、对英雄伤害+10。</t>
  </si>
  <si>
    <t>(法术)：【洞察1】、对随机单位造成56点伤害。</t>
  </si>
  <si>
    <t>传记学者</t>
  </si>
  <si>
    <t>(20/30)：回合开始:每使用过一个法术或传记，随机友军+2/+10、初次使用传记:抽一张牌、【洞察1】。</t>
  </si>
  <si>
    <t>(22/50)：【洞察1】、回合结束、死亡时:向敌方英雄投掷铁镐。</t>
  </si>
  <si>
    <t>(法术)：【洞察1】、英雄生命-2，抽两张牌、敌方英雄生命-48。</t>
  </si>
  <si>
    <t>(20/10)：【洞察1】、登场:召唤36/66珍奇兽-lv20。</t>
  </si>
  <si>
    <t>异域驯兽使</t>
  </si>
  <si>
    <t>(29/29)：【洞察1】、唤醒其他迟缓友军、登场:本回合隐形。</t>
  </si>
  <si>
    <t>(27/13)：【洞察1】、【先攻】、攻击前:本回合你每使用过一个法术或传记，随机敌军生命-7，自身攻击+7。</t>
  </si>
  <si>
    <t>(法术)：【洞察1】、随机友军+19/+19获得【回命】、抽一张牌、无友军则再抽一张牌并且【洞察1】。</t>
  </si>
  <si>
    <t>无情夺命客</t>
  </si>
  <si>
    <t>(25/25)：【洞察1】、【二连击】、敌方英雄受伤时:攻击+1。</t>
  </si>
  <si>
    <t>红海领航员</t>
  </si>
  <si>
    <t>(30/23)：【洞察1】、【先攻】、攻击前：全体先攻友军+6/+4。</t>
  </si>
  <si>
    <t>樱花·艾希尔</t>
  </si>
  <si>
    <t>(33/17)：【洞察2】、【连击】、【魔防120】、回合开始：若生命高于对手，获得【隐形】1回合；若人数多于对手，攻击+3。（皮肤：登场：攻击力+X，持续1回合（X为艾希尔等级）。）</t>
  </si>
  <si>
    <t>炼狱</t>
  </si>
  <si>
    <t>地狱刀吏</t>
  </si>
  <si>
    <t>(31/8)：【洞察1】、回合开始时:若你无手牌，自身攻击+10。</t>
  </si>
  <si>
    <t>嗜血妖蛾</t>
  </si>
  <si>
    <t>(25/25)：【洞察1】、敌方玩家受到伤害时:自身攻击+2。</t>
  </si>
  <si>
    <t>猩红勇士</t>
  </si>
  <si>
    <t>(38/12)：【洞察1】、死亡:投掷长枪攻击英雄。</t>
  </si>
  <si>
    <t>炼狱双头犬</t>
  </si>
  <si>
    <t>(22/45)：【洞察1】、【二连击】。</t>
  </si>
  <si>
    <t>狱铠战魂</t>
  </si>
  <si>
    <t>(24/10)：【洞察1】、【护甲30】。</t>
  </si>
  <si>
    <t>地狱三头犬</t>
  </si>
  <si>
    <t>(24/64)：【洞察2】、【三连击】。</t>
  </si>
  <si>
    <t>蛮石</t>
  </si>
  <si>
    <t>愚笨鲸头鹅</t>
  </si>
  <si>
    <t>(15/23)：【洞察1】、【迟缓】、命中英雄:抓一张牌，并且【洞察1】。</t>
  </si>
  <si>
    <t>旷野祭师</t>
  </si>
  <si>
    <t>(10/24)：【洞察1】、你得法力上限+1、洞察时:英雄生命+18。</t>
  </si>
  <si>
    <t>痴蛮野人</t>
  </si>
  <si>
    <t>(38/38)：【迟缓】、洞察时:自身+6/+6。</t>
  </si>
  <si>
    <t>高原卫士</t>
  </si>
  <si>
    <t>(28/36)：【洞察1】、【迟缓】、回合结束：若本回合受到过伤害，自身+5/+12，【洞察1】。</t>
  </si>
  <si>
    <t>盘旋秃鹰</t>
  </si>
  <si>
    <t>(25/18)：命中英雄:【洞察1】、洞察时:自身攻击+8。</t>
  </si>
  <si>
    <t>寻路斥候</t>
  </si>
  <si>
    <t>(29/15)：登场:射击随机敌方，15点伤害、洞察时:射击随机敌军，12点伤害。</t>
  </si>
  <si>
    <t>厚皮河马</t>
  </si>
  <si>
    <t>(25/66)：【洞察1】、【迟缓】、回合结束:若本回合受到过伤害，自身生命+15。</t>
  </si>
  <si>
    <t>机敏雀鹰</t>
  </si>
  <si>
    <t>(15/40)：【洞察1】、洞察时：自身+5/+5，魔防+5。</t>
  </si>
  <si>
    <t>原野狂战士</t>
  </si>
  <si>
    <t>(36/36)：【洞察1】、【践踏】、【魔防9】。</t>
  </si>
  <si>
    <t>生命源力</t>
  </si>
  <si>
    <t>(法术)：【洞察1】、目标单位+34/+34，魔防+14。</t>
  </si>
  <si>
    <t>雪原野人</t>
  </si>
  <si>
    <t>(38/38)：【迟缓】、【回命】、【洞察1】、场上有冰封则失去【迟缓】。</t>
  </si>
  <si>
    <t>鼓舞图腾</t>
  </si>
  <si>
    <t>(0/100)：【洞察1】、回合开始:其他全体友军+4/+3，魔防+4。</t>
  </si>
  <si>
    <t>迷茫巨人</t>
  </si>
  <si>
    <t>(50/75)：【洞察1】、【迟缓】、【魔防15】。</t>
  </si>
  <si>
    <t>无畏猎户</t>
  </si>
  <si>
    <t>(23/35)：【洞察1】、命中英雄时:再攻击一次。</t>
  </si>
  <si>
    <t>诱敌草人</t>
  </si>
  <si>
    <t>(0/77)：回合结束：若本回合受到过伤害，抽一张牌，英雄生命+18，【洞察1】。</t>
  </si>
  <si>
    <t>高原保卫战</t>
  </si>
  <si>
    <t>(法术)：召唤28/36高原守卫-lv20，随机友军+6/+13，全场生物受到1点伤害。</t>
  </si>
  <si>
    <t>象牙少女</t>
  </si>
  <si>
    <t>(9/13)：【洞察1】、回合结束:召唤36/60长毛象-lv20。</t>
  </si>
  <si>
    <t>冬神</t>
  </si>
  <si>
    <t>寒铁军士</t>
  </si>
  <si>
    <t>(34/9)：【洞察1】、登场:冰封相邻随机位置。</t>
  </si>
  <si>
    <t>寒风草人</t>
  </si>
  <si>
    <t>(0/30)：【洞察1】、【传承7】、登场：冰封相邻随机位置，横排敌军-10/-10。</t>
  </si>
  <si>
    <t>严冬苦行僧</t>
  </si>
  <si>
    <t>(21/39)：【洞察1】、登场:随机敌军攻击-3x/-3x(x为敌方冰封数量)、敌方法力上限-1。</t>
  </si>
  <si>
    <t>神庙祭师</t>
  </si>
  <si>
    <t>(20/30)：【洞察1】、攻击前:吸取生命，等同自身攻击。</t>
  </si>
  <si>
    <t>冬夜使者</t>
  </si>
  <si>
    <t>(33/33)：【洞察2】、双方英雄法力上限-1。</t>
  </si>
  <si>
    <t>极夜阴魂</t>
  </si>
  <si>
    <t>(50/15)：【洞察1】、【隐形】、【穿透】、【魔防8】。</t>
  </si>
  <si>
    <t>严冬修行</t>
  </si>
  <si>
    <t>(法术)：冰封敌方区域，召唤21/39严冬苦行僧-lv20、随机敌军-18/-18。</t>
  </si>
  <si>
    <t>冰河世纪</t>
  </si>
  <si>
    <t>(法术)：【洞察1】、所有单位-38/-38、全场每有一处冰封，再-2/-2（无视神佑和魔免）。</t>
  </si>
  <si>
    <t>类型</t>
  </si>
  <si>
    <t>描述（13星效果）</t>
  </si>
  <si>
    <t>遗迹宝剑</t>
  </si>
  <si>
    <t>武器</t>
  </si>
  <si>
    <t>【回合3】随机友军+21/+42，获得【回命】、【洞察1】。</t>
  </si>
  <si>
    <t>禁卫之矛</t>
  </si>
  <si>
    <t>【回合4】召唤【禁卫指挥官-lv18】。</t>
  </si>
  <si>
    <t>遗迹地图</t>
  </si>
  <si>
    <t>宝物</t>
  </si>
  <si>
    <t>【回合1结束】获得【增援战线-lv20】，召唤【小镇民兵-lv14】。</t>
  </si>
  <si>
    <t>韧皮箭囊</t>
  </si>
  <si>
    <t>【回合2】后排位置召唤【塔楼弓手-lv16】。</t>
  </si>
  <si>
    <t>光明徽记</t>
  </si>
  <si>
    <t>【回合2结束】获得【光明惩戒-lv20】，召唤【小镇民兵-lv20】。</t>
  </si>
  <si>
    <t>征收官之帽</t>
  </si>
  <si>
    <t>【回合4】召唤【白头狮鹫-lv15】、【圣殿卫士-lv15】、【警卫-lv15】。</t>
  </si>
  <si>
    <t>星界银剑</t>
  </si>
  <si>
    <t>【回合1】获得【破魔系教授-lv20】，随机敌军攻击-12并沉默。</t>
  </si>
  <si>
    <t>脉冲袖箭</t>
  </si>
  <si>
    <t>【回合2】召唤【学仆-脉冲型-lv18】。</t>
  </si>
  <si>
    <t>观星者</t>
  </si>
  <si>
    <t>【回合2结束】召唤【方尖魔碑-lv18】，获得【学仆-基础型-lv18】。</t>
  </si>
  <si>
    <t>纯净紫钻</t>
  </si>
  <si>
    <t>【回合2结束】召唤【幻域秘树-lv17】。</t>
  </si>
  <si>
    <t>遥控装置</t>
  </si>
  <si>
    <t>【回合2】后排位置召唤【学仆-猛禽型-lv16】、【洞察1】。</t>
  </si>
  <si>
    <t>晚星</t>
  </si>
  <si>
    <t>【回合1】获得【白首魔根-lv20】和【真理碎片】，随机敌军攻击-25。</t>
  </si>
  <si>
    <t>方舟密钥</t>
  </si>
  <si>
    <t>【回合5】中排位置召唤【米拉方舟-lv18】，3个敌军攻击-4。</t>
  </si>
  <si>
    <t>铜钱宝剑</t>
  </si>
  <si>
    <t>【回合2结束】获得【铁山靠-lv16】，随机友军生命+21。</t>
  </si>
  <si>
    <t>神机木拐</t>
  </si>
  <si>
    <t>【回合1】召唤并获得【箭竹守卫-lv20】、【洞察1】。</t>
  </si>
  <si>
    <t>无极盘龙棍</t>
  </si>
  <si>
    <t>【回合2】后排随机位置召唤【驱魔道人-lv20】、【洞察1】、随机友军+2/+2。</t>
  </si>
  <si>
    <t>翡翠玉佩</t>
  </si>
  <si>
    <t>【回合1结束】获得【蟠桃会-lv20】和2个【仙桃-lv20】。</t>
  </si>
  <si>
    <t>聚宝盆</t>
  </si>
  <si>
    <t>【回合3结束】前排位置召唤【摇钱尊者-lv18】，3个友军生命+9。</t>
  </si>
  <si>
    <t>掠夺弯刀</t>
  </si>
  <si>
    <t>【回合2】召唤【沙漠骆驼-lv17】、【洞察1】。</t>
  </si>
  <si>
    <t>矿工锄</t>
  </si>
  <si>
    <t>【回合2结束】后排位置召唤【热血矿工-lv20】。</t>
  </si>
  <si>
    <t>船长双刀</t>
  </si>
  <si>
    <t>【回合1】后排随机位置召唤【亡命之徒-lv20】，敌方英雄生命-10，本回合【禁疗】。</t>
  </si>
  <si>
    <t>红海魔爪</t>
  </si>
  <si>
    <t>【回合4】召唤【红海领航员-lv20】，全体友军获得【先攻】1回合。</t>
  </si>
  <si>
    <t>黑旗号角</t>
  </si>
  <si>
    <t>【回合1】前排随机位置召唤【斑毛幼猪-lv20】，英雄生命+33、【洞察1】。</t>
  </si>
  <si>
    <t>逆旅披风</t>
  </si>
  <si>
    <t>【回合1结束】后排位置召唤【无情夺命客-lv18】，敌方随机位置坠落7点伤害。</t>
  </si>
  <si>
    <t>海洋之耀</t>
  </si>
  <si>
    <t>【回合2】召唤【红海猎魔人-lv20】，获得【排箭攻击-lv20】。</t>
  </si>
  <si>
    <t>恶鬼匕首</t>
  </si>
  <si>
    <t>【回合3】2个随机友军攻击+28、【洞察1】。</t>
  </si>
  <si>
    <t>炼狱长鞭</t>
  </si>
  <si>
    <t>【回合3】你的英雄生命-10，召唤【地狱三头犬-lv18】，全体连击友军获得【磐龙】。</t>
  </si>
  <si>
    <t>阴影罩帽</t>
  </si>
  <si>
    <t>【回合1】获得【狱铠战魂-lv20】，随机敌军攻击-20。</t>
  </si>
  <si>
    <t>富饶权杖</t>
  </si>
  <si>
    <t>【回合3】随机友军+14/+22、【洞察2】。</t>
  </si>
  <si>
    <t>隼之弓</t>
  </si>
  <si>
    <t>【回合2】召唤【机敏雀鹰-lv20】。</t>
  </si>
  <si>
    <t>好运之弓</t>
  </si>
  <si>
    <t>【回合1】召唤【蓄力射手-lv20】、【洞察1】、随机友军+1/+1。</t>
  </si>
  <si>
    <t>原野呼唤</t>
  </si>
  <si>
    <t>【回合3结束】后排位置召唤【象牙少女-lv20】。</t>
  </si>
  <si>
    <t>角斗士徽记</t>
  </si>
  <si>
    <t>【回合1】获得【痴蛮野人-lv20】，随机友军+8/+8。</t>
  </si>
  <si>
    <t>兽骨戒</t>
  </si>
  <si>
    <t>【回合2】中排随机位置召唤【噬人花-lv16】、【洞察1】、全体单位受到1点伤害。</t>
  </si>
  <si>
    <t>高原角笛</t>
  </si>
  <si>
    <t>【回合3】召唤【高原守卫-lv20】，全场生物受到1点伤害。</t>
  </si>
  <si>
    <t>部族图腾</t>
  </si>
  <si>
    <t>【回合1结束】后排随机位置召唤【旷野祭师-lv16】，2个随机友军+3/+3。</t>
  </si>
  <si>
    <t>寒铁盔</t>
  </si>
  <si>
    <t>【回合2】召唤【寒铁军士-lv19】。</t>
  </si>
  <si>
    <t>巫妖魂器</t>
  </si>
  <si>
    <t>【回合2结束】召唤【严寒苦行僧-lv20】，冰封敌方随机2个位置。</t>
  </si>
  <si>
    <t>冰晶雕像</t>
  </si>
  <si>
    <t>【回合1】获得【神庙祭师-lv20】，召唤【冻尸-lv20】。</t>
  </si>
  <si>
    <t>雪隐珠</t>
  </si>
  <si>
    <t>【回合2结束】中排位置召唤【雪隐长老灵-lv20】，获得【寒风草人-lv12】。</t>
  </si>
  <si>
    <t>圣堂门卫</t>
  </si>
  <si>
    <t>白色</t>
  </si>
  <si>
    <t>(3/60)：【护甲3】。</t>
  </si>
  <si>
    <t>重装固守</t>
  </si>
  <si>
    <t>(法术)：目标友军+8/+26，若他有护甲，则护甲+6并获得【磐龙】、抽一张牌。</t>
  </si>
  <si>
    <t>圣甲先锋</t>
  </si>
  <si>
    <t>(24/24)：【护甲6】、命中英雄:手上一张护甲生物卡法力-1（次数上限:2）。</t>
  </si>
  <si>
    <t>盾甲禁卫</t>
  </si>
  <si>
    <t>(29/24)：【护甲10】。</t>
  </si>
  <si>
    <t>信念雕像</t>
  </si>
  <si>
    <t>(15/50)：【守军】、【护甲8】、回合开始:另一友军生命+X（等同攻击）。</t>
  </si>
  <si>
    <t>圣殿精英</t>
  </si>
  <si>
    <t>(22/45)：【协战16】、【护甲3】。</t>
  </si>
  <si>
    <t>(0/40)：【守军】、【魔免】、登场:全体友军+7/+7、当前回合:护甲和魔防+7、回合结束:四个友军+1/+7</t>
  </si>
  <si>
    <t>传记·钢铁守卫</t>
  </si>
  <si>
    <t>(传记)：前排位置召唤圣堂门卫-lv18、获得【传记·钢铁赞歌】。</t>
  </si>
  <si>
    <t>流星斗士</t>
  </si>
  <si>
    <t>(24/24)：【护甲4】、【协战8】、死亡:向对面横排，投掷流星锤。</t>
  </si>
  <si>
    <t>传记·钢铁赞歌</t>
  </si>
  <si>
    <t>(传记)：召唤圣堂门卫-lv20，随机护甲友军获得【魂歌】、获得【传记·钢铁意志】。</t>
  </si>
  <si>
    <t>圣殿骑士</t>
  </si>
  <si>
    <t>(27/42)：【护甲6】、【回命】、【协战10】。</t>
  </si>
  <si>
    <t>钢铁大师</t>
  </si>
  <si>
    <t>(27/70)：【护甲10】、回合结束:全体护甲友军攻击+10。</t>
  </si>
  <si>
    <t>传记·钢铁意志</t>
  </si>
  <si>
    <t>(传记)：全体护甲友军+17/+17，护甲+6，获得【神佑】1回合。</t>
  </si>
  <si>
    <t>禁卫百夫长</t>
  </si>
  <si>
    <t>(36/50)：【磐龙】、【护甲18】、【协战14】。</t>
  </si>
  <si>
    <t>光明圣骑士</t>
  </si>
  <si>
    <t>(50/50)：【护甲11】、登场:英雄生命+50</t>
  </si>
  <si>
    <t>皇家狮鹫</t>
  </si>
  <si>
    <t>(50/36)：【回命】、【护甲9】、登场:召唤32/18白头狮鹫-lv20，吹飞随机敌军。</t>
  </si>
  <si>
    <t>破城者·阿基琉斯</t>
  </si>
  <si>
    <t>(0/180)：【迟缓】、【磐龙】、【践踏】、【护甲20】、【协战50】。</t>
  </si>
  <si>
    <t>荣光堡垒</t>
  </si>
  <si>
    <t>(0/220)：【磐龙】、【守军】、【护甲9】、回合结束:炮击敌横排随机区域32点伤害，炮击2次。</t>
  </si>
  <si>
    <t>蔚蓝幻梦·卡洛琳</t>
  </si>
  <si>
    <t>(0/20)：【魔防20】、同横排其他单位不会攻击（无视神佑和魔免）、回合结束:【洞察1】、另一友军+7/+15。（皮肤：回合开始：另一护甲友军+3/+3，魔防+5，获得【磐龙】。）</t>
  </si>
  <si>
    <t>永恒之王·莱哈特</t>
  </si>
  <si>
    <t>(30/65)：【磐龙】、【践踏】、【护甲8】、【协战20】。（皮肤：登场：护甲友军获得【神佑】1回合、莱哈特在场：全体友军获得【协战1】。）</t>
  </si>
  <si>
    <t>(33/80)：【磐龙】、【护甲8】、回合开始:全体护甲友军+10/+10，获得【连击】3回合。（皮肤：登场：横排敌军眩晕1回合，斩击横排随机敌军，无敌军则斩击英雄（伤害：护甲友军数量x自身等级，无视神佑和魔免）。）</t>
  </si>
  <si>
    <t>司莫斯的光明要塞</t>
  </si>
  <si>
    <t>(0/300)：【魔免】、【护甲18】、回合结束:炮击横排随机区域110点伤害（无视【神佑】和【魔免】）。</t>
  </si>
  <si>
    <t>黑曜石像鬼</t>
  </si>
  <si>
    <t>(30/55)：【迟缓】、敌方法力上限-1、登场回合具有【护甲30】。</t>
  </si>
  <si>
    <t>学仆-能源型</t>
  </si>
  <si>
    <t>(25/50)：【护甲9】、法力上限+2。</t>
  </si>
  <si>
    <t>魔像-御咒铁卫</t>
  </si>
  <si>
    <t>(30/30)：【护甲10】、攻击前:本回合你每使用过一个法术，自身+6/+6，护甲+2，若为传记则护甲额外+1。</t>
  </si>
  <si>
    <t>巨型石像鬼</t>
  </si>
  <si>
    <t>(90/90)：【迟缓】、敌方法力上限永久-1、登场:吹回随机敌军，本回合具有【护甲55】。</t>
  </si>
  <si>
    <t>魔钢</t>
  </si>
  <si>
    <t>(99/99)：【护甲10】、【磐龙】、充能:护甲+7、攻击前:本回合你使用过法术，自身+15/+15。</t>
  </si>
  <si>
    <t>No.4希尔伯特</t>
  </si>
  <si>
    <t>(20/40)：【护甲5】、【魔防5】、回合结束:敌方区域召唤灵能炸弹-lv20。</t>
  </si>
  <si>
    <t>No.5咒刃·布雷克</t>
  </si>
  <si>
    <t>(19/35)：【魔免】、【先攻】、【二连击】、【护甲6】、攻击前:本回合你每使用过一个法术或传记，自身攻击+3。（皮肤：命中时：魔界火焰坠落敌方随机区域（3点伤害）。）</t>
  </si>
  <si>
    <t>龟族僧人</t>
  </si>
  <si>
    <t>(25/35)：【护甲6】、【回命】、获得传承:护甲+6。</t>
  </si>
  <si>
    <t>祥云师太</t>
  </si>
  <si>
    <t>(24/24)：【传承16】、登场:随机相邻友军生命加倍，获得【护甲4】。</t>
  </si>
  <si>
    <t>植甲师</t>
  </si>
  <si>
    <t>(25/32)：【护甲4】、【传承4】、受到传承:全体友军+4/+4，护甲+4。</t>
  </si>
  <si>
    <t>泰山之力</t>
  </si>
  <si>
    <t>(法术)：目标友军加攻，等同其一半生命值，并获得【护甲20】、【魔防10】。</t>
  </si>
  <si>
    <t>龙纹尊者</t>
  </si>
  <si>
    <t>(35/65)：【磐龙】、【护甲9】、受到传承时:自身额外+9/+9。</t>
  </si>
  <si>
    <t>披甲罗汉</t>
  </si>
  <si>
    <t>(65/65)：【护甲20】、受到传承:自身获得【魔免】、【回命】。</t>
  </si>
  <si>
    <t>(法术)：目标友军+25/+25、获得【回命】、【践踏】、【传承25】。（皮肤：目标友军攻击+9，魔防+9，护甲+9，持续1回合。）</t>
  </si>
  <si>
    <t>天蓬元帅·悟能</t>
  </si>
  <si>
    <t>(75/75)：【践踏】、【回命】、【传承25】。（皮肤：【护甲1】、死亡：转世为斑毛幼猪。）</t>
  </si>
  <si>
    <t>海港</t>
  </si>
  <si>
    <t>教廷学者</t>
  </si>
  <si>
    <t>(27/35)：回合开始:随机四芒帝国友军和隐秘友军+3/+12，获得【护甲2】。</t>
  </si>
  <si>
    <t>天雷降临·布瑞恩</t>
  </si>
  <si>
    <t>(40/40)：【护甲14】、【践踏】、登场:横排敌军受到22点伤害、攻击前:友军多于敌军，自身+7/+15。（皮肤：登场的重击可眩晕横排敌军、命中时：50%几率天雷坠落随机区域（3点伤害）。）</t>
  </si>
  <si>
    <t>毒液甲虫</t>
  </si>
  <si>
    <t>(28/28)：【护甲5】、死亡:向敌方随机区域喷吐毒液(坠落伤害)。</t>
  </si>
  <si>
    <t>恶臭公害</t>
  </si>
  <si>
    <t>(33/43)：【护甲11】、回合开始:英雄受到4点伤害。</t>
  </si>
  <si>
    <t>渴血毒甲蝎</t>
  </si>
  <si>
    <t>(24/28)：【护甲8】、对英雄伤害+8、敌方英雄受到伤害时：自身生命+2。</t>
  </si>
  <si>
    <t>铸甲熔岩魔</t>
  </si>
  <si>
    <t>(30/40)：【护甲10】、回合开始：全体有践踏的友军+3/+6，获得【护甲2】。</t>
  </si>
  <si>
    <t>狂暴铁臂</t>
  </si>
  <si>
    <t>(48/48)：【护甲6】、攻击前:全体护甲友军+5/+5、登场回合具有【磐龙】和【魂歌】。</t>
  </si>
  <si>
    <t>岩魔</t>
  </si>
  <si>
    <t>(49/19)：敌方英雄受到伤害:随机敌军生命-4、死亡:回到手牌。（皮肤：【护甲1】、每当敌方受到伤害时：所有护甲友军攻击+1。）</t>
  </si>
  <si>
    <t>上古蛮王</t>
  </si>
  <si>
    <t>(26/50)：【连击】、【践踏】、【护甲6】、攻击前：全体敌军受到6点伤害。（皮肤：回合开始:另一个践踏友军攻击+1，护甲+1、另一个护甲友军攻击+1，获得【践踏】。）</t>
  </si>
  <si>
    <t>熔金饕餮兽</t>
  </si>
  <si>
    <t>(37/73)：登场:吸取敌方玩家73点生命、死亡:归还敌方玩家73点生命。（皮肤：【护甲3】、【磐龙】。）</t>
  </si>
  <si>
    <t>蛮石穿山甲</t>
  </si>
  <si>
    <t>(24/27)：【护甲6】、当己方英雄恢复生命:自身攻击+7，护甲+3。</t>
  </si>
  <si>
    <t>炎阳巨龙</t>
  </si>
  <si>
    <t>(140/140)：登场:焚烧全体敌军22点伤害、攻击前:烈焰吐息横排敌军30点伤害。（皮肤：【护甲5】、回合开始：敌方全场坠落1点伤害。）</t>
  </si>
  <si>
    <t>盾甲骷髅妖</t>
  </si>
  <si>
    <t>(19/19)：【护甲5】、死亡:随机友军+19/+19，并且护甲+5。</t>
  </si>
  <si>
    <t>冬幕骑士</t>
  </si>
  <si>
    <t>(39/39)：【护甲10】、登场:横排所有敌军-13/-13。</t>
  </si>
  <si>
    <t>冰峰甲虫</t>
  </si>
  <si>
    <t>(30/50)：【护甲8】、【魔防10】、受到传承：额外+8/+8，获得【磐龙】、攻击前：脚下有冰封，向前方喷吐冰毒。</t>
  </si>
  <si>
    <t>冬幕斗士</t>
  </si>
  <si>
    <t>(27/39)：【护甲10】、【二连击】、登场回合开始:友方每有一处冰封，自身+3/+3，护甲+3。</t>
  </si>
  <si>
    <t>骸骨督军</t>
  </si>
  <si>
    <t>(40/33)：【护甲5】、每当一个敌军死亡:随机友军攻击+12、护甲+3。</t>
  </si>
  <si>
    <t>无头骑士·塞古斯</t>
  </si>
  <si>
    <t>(55/30)：【先攻】、【践踏】、【护甲15】。（皮肤：登场：若脚下已冰封，自身攻击+1/+1，护甲+1，【魔免】1回合。）</t>
  </si>
  <si>
    <t>冰雪女皇</t>
  </si>
  <si>
    <t>(30/75)：登场:随机敌军-30/-30、友军死亡时:随机敌军-5/-5、敌军死亡时:随机友军+5/+5。（皮肤：回合开始：随机一个冬神使徒友军+1+1，护甲+1，魔防+1，冰封脚下。）</t>
  </si>
  <si>
    <t>卡牌名称</t>
  </si>
  <si>
    <t>目前等级</t>
  </si>
  <si>
    <t>目前张数</t>
  </si>
  <si>
    <t>距离20级还差多少张</t>
  </si>
  <si>
    <t>优先级</t>
  </si>
  <si>
    <t>所需时间</t>
  </si>
  <si>
    <t>圣殿斥候1</t>
  </si>
  <si>
    <t>/</t>
  </si>
  <si>
    <t>圣殿斥候2</t>
  </si>
  <si>
    <t>S</t>
  </si>
  <si>
    <t>需要21.5周</t>
  </si>
  <si>
    <t>圣殿弩手1</t>
  </si>
  <si>
    <t>圣殿弩手2</t>
  </si>
  <si>
    <t>C</t>
  </si>
  <si>
    <t>光明惩戒1</t>
  </si>
  <si>
    <t>光明惩戒2</t>
  </si>
  <si>
    <t>圣殿御卫1</t>
  </si>
  <si>
    <t>圣殿御卫2</t>
  </si>
  <si>
    <t>B</t>
  </si>
  <si>
    <t>圣枪·卡罗琳</t>
  </si>
  <si>
    <t>A</t>
  </si>
  <si>
    <t>钢铁统帅·雷蒙德</t>
  </si>
  <si>
    <t>帝国军魂·莱哈特</t>
  </si>
  <si>
    <t>学仆-观测型1</t>
  </si>
  <si>
    <t>学仆-观测型2</t>
  </si>
  <si>
    <t>沉默否定1</t>
  </si>
  <si>
    <t>沉默否定2</t>
  </si>
  <si>
    <t>邪月蝙蝠</t>
  </si>
  <si>
    <t>猫妖</t>
  </si>
  <si>
    <t>学仆-脉冲型1</t>
  </si>
  <si>
    <t>3周</t>
  </si>
  <si>
    <t>学仆-脉冲型2</t>
  </si>
  <si>
    <t>学仆-脉冲型3</t>
  </si>
  <si>
    <t>No.8雷鸣·泰拉德</t>
  </si>
  <si>
    <t>No.6迪宁</t>
  </si>
  <si>
    <t>No.6沃凡瑞拉</t>
  </si>
  <si>
    <t>等级</t>
  </si>
  <si>
    <t>蓝卡需求</t>
  </si>
  <si>
    <t>紫卡需求</t>
  </si>
  <si>
    <t>橙卡需求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</si>
</sst>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14" sqref="C14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22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5</v>
      </c>
      <c r="B4" s="1">
        <v>3</v>
      </c>
      <c r="C4" s="1">
        <v>22</v>
      </c>
    </row>
    <row r="5" spans="1:3">
      <c r="A5" s="1" t="s">
        <v>6</v>
      </c>
      <c r="B5" s="1">
        <v>3</v>
      </c>
      <c r="C5" s="1">
        <v>22</v>
      </c>
    </row>
    <row r="6" spans="1:3">
      <c r="A6" s="1" t="s">
        <v>7</v>
      </c>
      <c r="B6" s="1">
        <v>3</v>
      </c>
      <c r="C6" s="1">
        <v>22</v>
      </c>
    </row>
    <row r="7" spans="1:3">
      <c r="A7" s="1" t="s">
        <v>8</v>
      </c>
      <c r="B7" s="1">
        <v>5</v>
      </c>
      <c r="C7" s="1">
        <v>22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9</v>
      </c>
      <c r="B10" s="1" t="s">
        <v>10</v>
      </c>
      <c r="C10" s="1">
        <f>AVERAGE(C2:C7)</f>
        <v>22</v>
      </c>
      <c r="D10" s="2"/>
    </row>
    <row r="13" spans="1:3">
      <c r="A13" s="2" t="s">
        <v>11</v>
      </c>
      <c r="B13" s="2">
        <v>1</v>
      </c>
      <c r="C13" s="2">
        <v>18</v>
      </c>
    </row>
    <row r="14" spans="1:3">
      <c r="A14" s="2" t="s">
        <v>12</v>
      </c>
      <c r="B14" s="2">
        <v>2</v>
      </c>
      <c r="C14" s="2">
        <v>22</v>
      </c>
    </row>
    <row r="15" spans="1:3">
      <c r="A15" s="2" t="s">
        <v>13</v>
      </c>
      <c r="B15" s="2">
        <v>4</v>
      </c>
      <c r="C15" s="2">
        <v>18</v>
      </c>
    </row>
    <row r="16" spans="1:3">
      <c r="A16" s="2" t="s">
        <v>14</v>
      </c>
      <c r="B16" s="2">
        <v>4</v>
      </c>
      <c r="C16" s="2">
        <v>12</v>
      </c>
    </row>
    <row r="17" spans="1:3">
      <c r="A17" s="2" t="s">
        <v>15</v>
      </c>
      <c r="B17" s="2">
        <v>6</v>
      </c>
      <c r="C17" s="2">
        <v>15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9</v>
      </c>
      <c r="B20" s="2" t="s">
        <v>16</v>
      </c>
      <c r="C20" s="2">
        <f>AVERAGE(C13:C17)</f>
        <v>17</v>
      </c>
    </row>
    <row r="23" spans="1:3">
      <c r="A23" s="3" t="s">
        <v>17</v>
      </c>
      <c r="B23" s="3">
        <v>3</v>
      </c>
      <c r="C23" s="3">
        <v>19</v>
      </c>
    </row>
    <row r="24" spans="1:3">
      <c r="A24" s="3" t="s">
        <v>18</v>
      </c>
      <c r="B24" s="3">
        <v>4</v>
      </c>
      <c r="C24" s="3">
        <v>20</v>
      </c>
    </row>
    <row r="25" spans="1:3">
      <c r="A25" s="3" t="s">
        <v>19</v>
      </c>
      <c r="B25" s="3">
        <v>4</v>
      </c>
      <c r="C25" s="3">
        <v>18</v>
      </c>
    </row>
    <row r="26" spans="1:3">
      <c r="A26" s="3" t="s">
        <v>20</v>
      </c>
      <c r="B26" s="3">
        <v>6</v>
      </c>
      <c r="C26" s="3">
        <v>20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21</v>
      </c>
      <c r="C29" s="3">
        <f>AVERAGE(C23:C26)</f>
        <v>19.25</v>
      </c>
    </row>
    <row r="32" spans="1:3">
      <c r="A32" s="4" t="s">
        <v>22</v>
      </c>
      <c r="B32" s="4" t="s">
        <v>23</v>
      </c>
      <c r="C32" s="4">
        <f>AVERAGE(C2:C7,C13:C17,C23:C26)</f>
        <v>19.6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C21" sqref="C21"/>
    </sheetView>
  </sheetViews>
  <sheetFormatPr defaultColWidth="9" defaultRowHeight="13.5" outlineLevelCol="2"/>
  <cols>
    <col min="1" max="1" width="17.125" customWidth="1"/>
    <col min="2" max="2" width="10.2583333333333" customWidth="1"/>
    <col min="3" max="3" width="10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25</v>
      </c>
      <c r="B3" s="1">
        <v>2</v>
      </c>
      <c r="C3" s="1">
        <v>22</v>
      </c>
    </row>
    <row r="4" spans="1:3">
      <c r="A4" s="1" t="s">
        <v>25</v>
      </c>
      <c r="B4" s="1">
        <v>2</v>
      </c>
      <c r="C4" s="1">
        <v>22</v>
      </c>
    </row>
    <row r="5" spans="1:3">
      <c r="A5" s="1" t="s">
        <v>26</v>
      </c>
      <c r="B5" s="1">
        <v>2</v>
      </c>
      <c r="C5" s="1">
        <v>18</v>
      </c>
    </row>
    <row r="6" spans="1:3">
      <c r="A6" s="1" t="s">
        <v>26</v>
      </c>
      <c r="B6" s="1">
        <v>2</v>
      </c>
      <c r="C6" s="1">
        <v>14</v>
      </c>
    </row>
    <row r="7" spans="1:3">
      <c r="A7" s="1" t="s">
        <v>27</v>
      </c>
      <c r="B7" s="1">
        <v>3</v>
      </c>
      <c r="C7" s="1">
        <v>22</v>
      </c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 t="s">
        <v>9</v>
      </c>
      <c r="B10" s="1" t="s">
        <v>10</v>
      </c>
      <c r="C10" s="1">
        <f>AVERAGE(C2:C7)</f>
        <v>18.3333333333333</v>
      </c>
    </row>
    <row r="13" spans="1:3">
      <c r="A13" s="2" t="s">
        <v>28</v>
      </c>
      <c r="B13" s="2">
        <v>2</v>
      </c>
      <c r="C13" s="2">
        <v>21</v>
      </c>
    </row>
    <row r="14" spans="1:3">
      <c r="A14" s="2" t="s">
        <v>29</v>
      </c>
      <c r="B14" s="2">
        <v>2</v>
      </c>
      <c r="C14" s="2">
        <v>16</v>
      </c>
    </row>
    <row r="15" spans="1:3">
      <c r="A15" s="2" t="s">
        <v>29</v>
      </c>
      <c r="B15" s="2">
        <v>2</v>
      </c>
      <c r="C15" s="2">
        <v>14</v>
      </c>
    </row>
    <row r="16" spans="1:3">
      <c r="A16" s="2" t="s">
        <v>30</v>
      </c>
      <c r="B16" s="2">
        <v>3</v>
      </c>
      <c r="C16" s="2">
        <v>22</v>
      </c>
    </row>
    <row r="17" spans="1:3">
      <c r="A17" s="2" t="s">
        <v>30</v>
      </c>
      <c r="B17" s="2">
        <v>3</v>
      </c>
      <c r="C17" s="2">
        <v>22</v>
      </c>
    </row>
    <row r="18" spans="1:3">
      <c r="A18" s="2" t="s">
        <v>30</v>
      </c>
      <c r="B18" s="2">
        <v>3</v>
      </c>
      <c r="C18" s="2">
        <v>22</v>
      </c>
    </row>
    <row r="19" spans="1:3">
      <c r="A19" s="2" t="s">
        <v>31</v>
      </c>
      <c r="B19" s="2">
        <v>5</v>
      </c>
      <c r="C19" s="2">
        <v>16</v>
      </c>
    </row>
    <row r="20" spans="1:3">
      <c r="A20" s="2" t="s">
        <v>32</v>
      </c>
      <c r="B20" s="2">
        <v>7</v>
      </c>
      <c r="C20" s="2">
        <v>21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9</v>
      </c>
      <c r="B23" s="2" t="s">
        <v>16</v>
      </c>
      <c r="C23" s="2">
        <f>AVERAGE(C13:C20)</f>
        <v>19.25</v>
      </c>
    </row>
    <row r="26" spans="1:3">
      <c r="A26" s="3" t="s">
        <v>33</v>
      </c>
      <c r="B26" s="3">
        <v>4</v>
      </c>
      <c r="C26" s="3">
        <v>22</v>
      </c>
    </row>
    <row r="27" spans="1:3">
      <c r="A27" s="3" t="s">
        <v>34</v>
      </c>
      <c r="B27" s="3">
        <v>5</v>
      </c>
      <c r="C27" s="3">
        <v>16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9</v>
      </c>
      <c r="B30" s="3" t="s">
        <v>10</v>
      </c>
      <c r="C30" s="3">
        <f>AVERAGE(C26:C27)</f>
        <v>19</v>
      </c>
    </row>
    <row r="33" spans="1:3">
      <c r="A33" s="4" t="s">
        <v>22</v>
      </c>
      <c r="B33" s="4" t="s">
        <v>35</v>
      </c>
      <c r="C33" s="4">
        <f>AVERAGE(C2:C7,C13:C20,C26:C27)</f>
        <v>18.875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C16" sqref="C16"/>
    </sheetView>
  </sheetViews>
  <sheetFormatPr defaultColWidth="9" defaultRowHeight="13.5" outlineLevelCol="2"/>
  <cols>
    <col min="1" max="1" width="16.375" customWidth="1"/>
    <col min="2" max="2" width="11.5" customWidth="1"/>
    <col min="3" max="3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36</v>
      </c>
      <c r="B2" s="1">
        <v>1</v>
      </c>
      <c r="C2" s="1">
        <v>15</v>
      </c>
    </row>
    <row r="3" spans="1:3">
      <c r="A3" s="1" t="s">
        <v>36</v>
      </c>
      <c r="B3" s="1">
        <v>1</v>
      </c>
      <c r="C3" s="1">
        <v>14</v>
      </c>
    </row>
    <row r="4" spans="1:3">
      <c r="A4" s="1" t="s">
        <v>36</v>
      </c>
      <c r="B4" s="1">
        <v>1</v>
      </c>
      <c r="C4" s="1">
        <v>13</v>
      </c>
    </row>
    <row r="5" spans="1:3">
      <c r="A5" s="1" t="s">
        <v>37</v>
      </c>
      <c r="B5" s="1">
        <v>2</v>
      </c>
      <c r="C5" s="1">
        <v>20</v>
      </c>
    </row>
    <row r="6" spans="1:3">
      <c r="A6" s="1" t="s">
        <v>38</v>
      </c>
      <c r="B6" s="1">
        <v>2</v>
      </c>
      <c r="C6" s="1">
        <v>20</v>
      </c>
    </row>
    <row r="7" spans="1:3">
      <c r="A7" s="1" t="s">
        <v>39</v>
      </c>
      <c r="B7" s="1">
        <v>2</v>
      </c>
      <c r="C7" s="1">
        <v>12</v>
      </c>
    </row>
    <row r="8" spans="1:3">
      <c r="A8" s="1" t="s">
        <v>40</v>
      </c>
      <c r="B8" s="1">
        <v>3</v>
      </c>
      <c r="C8" s="1">
        <v>19</v>
      </c>
    </row>
    <row r="9" spans="1:3">
      <c r="A9" s="1" t="s">
        <v>41</v>
      </c>
      <c r="B9" s="1">
        <v>3</v>
      </c>
      <c r="C9" s="1">
        <v>16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 t="s">
        <v>9</v>
      </c>
      <c r="B12" s="1" t="s">
        <v>10</v>
      </c>
      <c r="C12" s="1">
        <f>AVERAGE(C2:C9)</f>
        <v>16.125</v>
      </c>
    </row>
    <row r="15" spans="1:3">
      <c r="A15" s="2" t="s">
        <v>42</v>
      </c>
      <c r="B15" s="2">
        <v>2</v>
      </c>
      <c r="C15" s="2">
        <v>20</v>
      </c>
    </row>
    <row r="16" spans="1:3">
      <c r="A16" s="2" t="s">
        <v>43</v>
      </c>
      <c r="B16" s="2">
        <v>2</v>
      </c>
      <c r="C16" s="2">
        <v>12</v>
      </c>
    </row>
    <row r="17" spans="1:3">
      <c r="A17" s="2" t="s">
        <v>43</v>
      </c>
      <c r="B17" s="2">
        <v>2</v>
      </c>
      <c r="C17" s="2">
        <v>12</v>
      </c>
    </row>
    <row r="18" spans="1:3">
      <c r="A18" s="2" t="s">
        <v>44</v>
      </c>
      <c r="B18" s="2">
        <v>4</v>
      </c>
      <c r="C18" s="2">
        <v>15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9</v>
      </c>
      <c r="B21" s="2" t="s">
        <v>16</v>
      </c>
      <c r="C21" s="2">
        <f>AVERAGE(C15:C18)</f>
        <v>14.75</v>
      </c>
    </row>
    <row r="24" spans="1:3">
      <c r="A24" s="3" t="s">
        <v>45</v>
      </c>
      <c r="B24" s="3">
        <v>3</v>
      </c>
      <c r="C24" s="3">
        <v>12</v>
      </c>
    </row>
    <row r="25" spans="1:3">
      <c r="A25" s="3" t="s">
        <v>46</v>
      </c>
      <c r="B25" s="3">
        <v>4</v>
      </c>
      <c r="C25" s="3">
        <v>12</v>
      </c>
    </row>
    <row r="26" spans="1:3">
      <c r="A26" s="3" t="s">
        <v>47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21</v>
      </c>
      <c r="C29" s="3">
        <f>AVERAGE(C24:C26)</f>
        <v>12</v>
      </c>
    </row>
    <row r="32" spans="1:3">
      <c r="A32" s="4" t="s">
        <v>22</v>
      </c>
      <c r="B32" s="4" t="s">
        <v>48</v>
      </c>
      <c r="C32" s="4">
        <f>AVERAGE(C2:C9,C15:C18,C24:C26)</f>
        <v>14.9333333333333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D27" sqref="D27"/>
    </sheetView>
  </sheetViews>
  <sheetFormatPr defaultColWidth="9" defaultRowHeight="13.5" outlineLevelCol="2"/>
  <cols>
    <col min="1" max="1" width="13.7583333333333" customWidth="1"/>
    <col min="2" max="2" width="11.5" customWidth="1"/>
    <col min="3" max="3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49</v>
      </c>
      <c r="B2" s="1">
        <v>2</v>
      </c>
      <c r="C2" s="1">
        <v>12</v>
      </c>
    </row>
    <row r="3" spans="1:3">
      <c r="A3" s="1" t="s">
        <v>50</v>
      </c>
      <c r="B3" s="1">
        <v>2</v>
      </c>
      <c r="C3" s="1">
        <v>12</v>
      </c>
    </row>
    <row r="4" spans="1:3">
      <c r="A4" s="1" t="s">
        <v>50</v>
      </c>
      <c r="B4" s="1">
        <v>2</v>
      </c>
      <c r="C4" s="1">
        <v>12</v>
      </c>
    </row>
    <row r="5" spans="1:3">
      <c r="A5" s="1" t="s">
        <v>51</v>
      </c>
      <c r="B5" s="1">
        <v>3</v>
      </c>
      <c r="C5" s="1">
        <v>12</v>
      </c>
    </row>
    <row r="6" spans="1:3">
      <c r="A6" s="1" t="s">
        <v>51</v>
      </c>
      <c r="B6" s="1">
        <v>3</v>
      </c>
      <c r="C6" s="1">
        <v>12</v>
      </c>
    </row>
    <row r="7" spans="1:3">
      <c r="A7" s="1" t="s">
        <v>52</v>
      </c>
      <c r="B7" s="1">
        <v>3</v>
      </c>
      <c r="C7" s="1">
        <v>12</v>
      </c>
    </row>
    <row r="8" spans="1:3">
      <c r="A8" s="1" t="s">
        <v>53</v>
      </c>
      <c r="B8" s="1">
        <v>4</v>
      </c>
      <c r="C8" s="1">
        <v>12</v>
      </c>
    </row>
    <row r="9" spans="1:3">
      <c r="A9" s="1" t="s">
        <v>53</v>
      </c>
      <c r="B9" s="1">
        <v>4</v>
      </c>
      <c r="C9" s="1">
        <v>12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 t="s">
        <v>9</v>
      </c>
      <c r="B12" s="1" t="s">
        <v>10</v>
      </c>
      <c r="C12" s="1">
        <f>AVERAGE(C2:C9)</f>
        <v>12</v>
      </c>
    </row>
    <row r="15" spans="1:3">
      <c r="A15" s="2" t="s">
        <v>54</v>
      </c>
      <c r="B15" s="2">
        <v>2</v>
      </c>
      <c r="C15" s="2">
        <v>12</v>
      </c>
    </row>
    <row r="16" spans="1:3">
      <c r="A16" s="2" t="s">
        <v>55</v>
      </c>
      <c r="B16" s="2">
        <v>3</v>
      </c>
      <c r="C16" s="2">
        <v>12</v>
      </c>
    </row>
    <row r="17" spans="1:3">
      <c r="A17" s="2" t="s">
        <v>56</v>
      </c>
      <c r="B17" s="2">
        <v>4</v>
      </c>
      <c r="C17" s="2">
        <v>12</v>
      </c>
    </row>
    <row r="18" spans="1:3">
      <c r="A18" s="2" t="s">
        <v>57</v>
      </c>
      <c r="B18" s="2">
        <v>4</v>
      </c>
      <c r="C18" s="2">
        <v>12</v>
      </c>
    </row>
    <row r="19" spans="1:3">
      <c r="A19" s="2" t="s">
        <v>58</v>
      </c>
      <c r="B19" s="2">
        <v>5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9</v>
      </c>
      <c r="B22" s="2" t="s">
        <v>16</v>
      </c>
      <c r="C22" s="2">
        <f>AVERAGE(C15:C19)</f>
        <v>12</v>
      </c>
    </row>
    <row r="25" spans="1:3">
      <c r="A25" s="3" t="s">
        <v>59</v>
      </c>
      <c r="B25" s="3">
        <v>4</v>
      </c>
      <c r="C25" s="3">
        <v>15</v>
      </c>
    </row>
    <row r="26" spans="1:3">
      <c r="A26" s="3" t="s">
        <v>60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21</v>
      </c>
      <c r="C29" s="3">
        <f>AVERAGE(C25:C26)</f>
        <v>13.5</v>
      </c>
    </row>
    <row r="32" spans="1:3">
      <c r="A32" s="4" t="s">
        <v>22</v>
      </c>
      <c r="B32" s="4" t="s">
        <v>48</v>
      </c>
      <c r="C32" s="4">
        <f>AVERAGE(C2:C9,C15:C19,C25:C26)</f>
        <v>12.2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opLeftCell="A16" workbookViewId="0">
      <selection activeCell="F47" sqref="F47"/>
    </sheetView>
  </sheetViews>
  <sheetFormatPr defaultColWidth="9" defaultRowHeight="13.5" outlineLevelCol="2"/>
  <cols>
    <col min="1" max="1" width="18.2583333333333" customWidth="1"/>
    <col min="2" max="2" width="9.62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3</v>
      </c>
      <c r="B3" s="1">
        <v>1</v>
      </c>
      <c r="C3" s="1">
        <v>20</v>
      </c>
    </row>
    <row r="4" spans="1:3">
      <c r="A4" s="1" t="s">
        <v>3</v>
      </c>
      <c r="B4" s="1">
        <v>1</v>
      </c>
      <c r="C4" s="1">
        <v>19</v>
      </c>
    </row>
    <row r="5" spans="1:3">
      <c r="A5" s="1" t="s">
        <v>25</v>
      </c>
      <c r="B5" s="1">
        <v>2</v>
      </c>
      <c r="C5" s="1">
        <v>20</v>
      </c>
    </row>
    <row r="6" spans="1:3">
      <c r="A6" s="1" t="s">
        <v>25</v>
      </c>
      <c r="B6" s="1">
        <v>2</v>
      </c>
      <c r="C6" s="1">
        <v>20</v>
      </c>
    </row>
    <row r="7" spans="1:3">
      <c r="A7" s="1" t="s">
        <v>4</v>
      </c>
      <c r="B7" s="1">
        <v>2</v>
      </c>
      <c r="C7" s="1">
        <v>20</v>
      </c>
    </row>
    <row r="8" spans="1:3">
      <c r="A8" s="1" t="s">
        <v>26</v>
      </c>
      <c r="B8" s="1">
        <v>2</v>
      </c>
      <c r="C8" s="1">
        <v>19</v>
      </c>
    </row>
    <row r="9" spans="1:3">
      <c r="A9" s="1" t="s">
        <v>5</v>
      </c>
      <c r="B9" s="1">
        <v>3</v>
      </c>
      <c r="C9" s="1">
        <v>20</v>
      </c>
    </row>
    <row r="10" spans="1:3">
      <c r="A10" s="1" t="s">
        <v>6</v>
      </c>
      <c r="B10" s="1">
        <v>3</v>
      </c>
      <c r="C10" s="1">
        <v>20</v>
      </c>
    </row>
    <row r="11" spans="1:3">
      <c r="A11" s="1" t="s">
        <v>7</v>
      </c>
      <c r="B11" s="1">
        <v>3</v>
      </c>
      <c r="C11" s="1">
        <v>20</v>
      </c>
    </row>
    <row r="12" spans="1:3">
      <c r="A12" s="1" t="s">
        <v>27</v>
      </c>
      <c r="B12" s="1">
        <v>3</v>
      </c>
      <c r="C12" s="1">
        <v>20</v>
      </c>
    </row>
    <row r="13" spans="1:3">
      <c r="A13" s="1" t="s">
        <v>8</v>
      </c>
      <c r="B13" s="1">
        <v>5</v>
      </c>
      <c r="C13" s="1">
        <v>20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 t="s">
        <v>9</v>
      </c>
      <c r="B16" s="1" t="s">
        <v>10</v>
      </c>
      <c r="C16" s="1">
        <f>AVERAGE(C2:C13)</f>
        <v>19.1666666666667</v>
      </c>
    </row>
    <row r="19" spans="1:3">
      <c r="A19" s="2" t="s">
        <v>11</v>
      </c>
      <c r="B19" s="2">
        <v>1</v>
      </c>
      <c r="C19" s="2">
        <v>17</v>
      </c>
    </row>
    <row r="20" spans="1:3">
      <c r="A20" s="2" t="s">
        <v>12</v>
      </c>
      <c r="B20" s="2">
        <v>2</v>
      </c>
      <c r="C20" s="2">
        <v>20</v>
      </c>
    </row>
    <row r="21" spans="1:3">
      <c r="A21" s="2" t="s">
        <v>28</v>
      </c>
      <c r="B21" s="2">
        <v>2</v>
      </c>
      <c r="C21" s="2">
        <v>20</v>
      </c>
    </row>
    <row r="22" spans="1:3">
      <c r="A22" s="2" t="s">
        <v>29</v>
      </c>
      <c r="B22" s="2">
        <v>2</v>
      </c>
      <c r="C22" s="2">
        <v>15</v>
      </c>
    </row>
    <row r="23" spans="1:3">
      <c r="A23" s="2" t="s">
        <v>29</v>
      </c>
      <c r="B23" s="2">
        <v>2</v>
      </c>
      <c r="C23" s="2">
        <v>14</v>
      </c>
    </row>
    <row r="24" spans="1:3">
      <c r="A24" s="2" t="s">
        <v>30</v>
      </c>
      <c r="B24" s="2">
        <v>3</v>
      </c>
      <c r="C24" s="2">
        <v>20</v>
      </c>
    </row>
    <row r="25" spans="1:3">
      <c r="A25" s="2" t="s">
        <v>30</v>
      </c>
      <c r="B25" s="2">
        <v>3</v>
      </c>
      <c r="C25" s="2">
        <v>20</v>
      </c>
    </row>
    <row r="26" spans="1:3">
      <c r="A26" s="2" t="s">
        <v>30</v>
      </c>
      <c r="B26" s="2">
        <v>3</v>
      </c>
      <c r="C26" s="2">
        <v>20</v>
      </c>
    </row>
    <row r="27" spans="1:3">
      <c r="A27" s="2" t="s">
        <v>14</v>
      </c>
      <c r="B27" s="2">
        <v>4</v>
      </c>
      <c r="C27" s="2">
        <v>18</v>
      </c>
    </row>
    <row r="28" spans="1:3">
      <c r="A28" s="2" t="s">
        <v>31</v>
      </c>
      <c r="B28" s="2">
        <v>5</v>
      </c>
      <c r="C28" s="2">
        <v>18</v>
      </c>
    </row>
    <row r="29" spans="1:3">
      <c r="A29" s="2" t="s">
        <v>15</v>
      </c>
      <c r="B29" s="2">
        <v>6</v>
      </c>
      <c r="C29" s="2">
        <v>18</v>
      </c>
    </row>
    <row r="30" spans="1:3">
      <c r="A30" s="2" t="s">
        <v>32</v>
      </c>
      <c r="B30" s="2">
        <v>7</v>
      </c>
      <c r="C30" s="2">
        <v>20</v>
      </c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 t="s">
        <v>9</v>
      </c>
      <c r="B33" s="2" t="s">
        <v>16</v>
      </c>
      <c r="C33" s="2">
        <f>AVERAGE(C19:C30)</f>
        <v>18.3333333333333</v>
      </c>
    </row>
    <row r="36" spans="1:3">
      <c r="A36" s="3" t="s">
        <v>61</v>
      </c>
      <c r="B36" s="3">
        <v>3</v>
      </c>
      <c r="C36" s="3">
        <v>18</v>
      </c>
    </row>
    <row r="37" spans="1:3">
      <c r="A37" s="3" t="s">
        <v>62</v>
      </c>
      <c r="B37" s="3">
        <v>4</v>
      </c>
      <c r="C37" s="3">
        <v>20</v>
      </c>
    </row>
    <row r="38" spans="1:3">
      <c r="A38" s="3" t="s">
        <v>63</v>
      </c>
      <c r="B38" s="3">
        <v>4</v>
      </c>
      <c r="C38" s="3">
        <v>19</v>
      </c>
    </row>
    <row r="39" spans="1:3">
      <c r="A39" s="3" t="s">
        <v>64</v>
      </c>
      <c r="B39" s="3">
        <v>4</v>
      </c>
      <c r="C39" s="3">
        <v>17</v>
      </c>
    </row>
    <row r="40" spans="1:3">
      <c r="A40" s="3" t="s">
        <v>65</v>
      </c>
      <c r="B40" s="3">
        <v>5</v>
      </c>
      <c r="C40" s="3">
        <v>15</v>
      </c>
    </row>
    <row r="41" spans="1:3">
      <c r="A41" s="3" t="s">
        <v>66</v>
      </c>
      <c r="B41" s="3">
        <v>6</v>
      </c>
      <c r="C41" s="3">
        <v>19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AVERAGE(C36:C41)</f>
        <v>18</v>
      </c>
    </row>
    <row r="47" spans="1:3">
      <c r="A47" t="s">
        <v>22</v>
      </c>
      <c r="B47" t="s">
        <v>67</v>
      </c>
      <c r="C47">
        <f>AVERAGE(C2:C13,C19:C30,C36:C41)</f>
        <v>18.6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37" workbookViewId="0">
      <selection activeCell="C40" sqref="C40"/>
    </sheetView>
  </sheetViews>
  <sheetFormatPr defaultColWidth="9" defaultRowHeight="13.5" outlineLevelCol="4"/>
  <cols>
    <col min="1" max="1" width="17.875" customWidth="1"/>
    <col min="2" max="2" width="9.62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3</v>
      </c>
      <c r="B3" s="1">
        <v>1</v>
      </c>
      <c r="C3" s="1">
        <v>20</v>
      </c>
    </row>
    <row r="4" spans="1:3">
      <c r="A4" s="1" t="s">
        <v>3</v>
      </c>
      <c r="B4" s="1">
        <v>1</v>
      </c>
      <c r="C4" s="1">
        <v>19</v>
      </c>
    </row>
    <row r="5" spans="1:3">
      <c r="A5" s="1" t="s">
        <v>25</v>
      </c>
      <c r="B5" s="1">
        <v>2</v>
      </c>
      <c r="C5" s="1">
        <v>20</v>
      </c>
    </row>
    <row r="6" spans="1:3">
      <c r="A6" s="1" t="s">
        <v>25</v>
      </c>
      <c r="B6" s="1">
        <v>2</v>
      </c>
      <c r="C6" s="1">
        <v>20</v>
      </c>
    </row>
    <row r="7" spans="1:3">
      <c r="A7" s="1" t="s">
        <v>4</v>
      </c>
      <c r="B7" s="1">
        <v>2</v>
      </c>
      <c r="C7" s="1">
        <v>20</v>
      </c>
    </row>
    <row r="8" spans="1:3">
      <c r="A8" s="1" t="s">
        <v>26</v>
      </c>
      <c r="B8" s="1">
        <v>2</v>
      </c>
      <c r="C8" s="1">
        <v>19</v>
      </c>
    </row>
    <row r="9" spans="1:3">
      <c r="A9" s="1" t="s">
        <v>5</v>
      </c>
      <c r="B9" s="1">
        <v>3</v>
      </c>
      <c r="C9" s="1">
        <v>20</v>
      </c>
    </row>
    <row r="10" spans="1:3">
      <c r="A10" s="1" t="s">
        <v>6</v>
      </c>
      <c r="B10" s="1">
        <v>3</v>
      </c>
      <c r="C10" s="1">
        <v>20</v>
      </c>
    </row>
    <row r="11" spans="1:3">
      <c r="A11" s="1" t="s">
        <v>7</v>
      </c>
      <c r="B11" s="1">
        <v>3</v>
      </c>
      <c r="C11" s="1">
        <v>20</v>
      </c>
    </row>
    <row r="12" spans="1:3">
      <c r="A12" s="1" t="s">
        <v>27</v>
      </c>
      <c r="B12" s="1">
        <v>3</v>
      </c>
      <c r="C12" s="1">
        <v>20</v>
      </c>
    </row>
    <row r="13" spans="1:3">
      <c r="A13" s="1" t="s">
        <v>8</v>
      </c>
      <c r="B13" s="1">
        <v>5</v>
      </c>
      <c r="C13" s="1">
        <v>20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 t="s">
        <v>9</v>
      </c>
      <c r="B16" s="1" t="s">
        <v>10</v>
      </c>
      <c r="C16" s="1">
        <f>AVERAGE(C2:C13)</f>
        <v>19.1666666666667</v>
      </c>
    </row>
    <row r="19" spans="1:3">
      <c r="A19" s="2" t="s">
        <v>11</v>
      </c>
      <c r="B19" s="2">
        <v>1</v>
      </c>
      <c r="C19" s="2">
        <v>17</v>
      </c>
    </row>
    <row r="20" spans="1:3">
      <c r="A20" s="2" t="s">
        <v>12</v>
      </c>
      <c r="B20" s="2">
        <v>2</v>
      </c>
      <c r="C20" s="2">
        <v>20</v>
      </c>
    </row>
    <row r="21" spans="1:3">
      <c r="A21" s="2" t="s">
        <v>28</v>
      </c>
      <c r="B21" s="2">
        <v>2</v>
      </c>
      <c r="C21" s="2">
        <v>20</v>
      </c>
    </row>
    <row r="22" spans="1:3">
      <c r="A22" s="2" t="s">
        <v>29</v>
      </c>
      <c r="B22" s="2">
        <v>2</v>
      </c>
      <c r="C22" s="2">
        <v>15</v>
      </c>
    </row>
    <row r="23" spans="1:3">
      <c r="A23" s="2" t="s">
        <v>29</v>
      </c>
      <c r="B23" s="2">
        <v>2</v>
      </c>
      <c r="C23" s="2">
        <v>14</v>
      </c>
    </row>
    <row r="24" spans="1:3">
      <c r="A24" s="2" t="s">
        <v>30</v>
      </c>
      <c r="B24" s="2">
        <v>3</v>
      </c>
      <c r="C24" s="2">
        <v>20</v>
      </c>
    </row>
    <row r="25" spans="1:3">
      <c r="A25" s="2" t="s">
        <v>30</v>
      </c>
      <c r="B25" s="2">
        <v>3</v>
      </c>
      <c r="C25" s="2">
        <v>20</v>
      </c>
    </row>
    <row r="26" spans="1:3">
      <c r="A26" s="2" t="s">
        <v>30</v>
      </c>
      <c r="B26" s="2">
        <v>3</v>
      </c>
      <c r="C26" s="2">
        <v>20</v>
      </c>
    </row>
    <row r="27" spans="1:3">
      <c r="A27" s="2" t="s">
        <v>14</v>
      </c>
      <c r="B27" s="2">
        <v>4</v>
      </c>
      <c r="C27" s="2">
        <v>18</v>
      </c>
    </row>
    <row r="28" spans="1:5">
      <c r="A28" s="2" t="s">
        <v>15</v>
      </c>
      <c r="B28" s="2">
        <v>6</v>
      </c>
      <c r="C28" s="2">
        <v>18</v>
      </c>
      <c r="E28" s="5"/>
    </row>
    <row r="29" spans="1:5">
      <c r="A29" s="2" t="s">
        <v>32</v>
      </c>
      <c r="B29" s="2">
        <v>7</v>
      </c>
      <c r="C29" s="2">
        <v>20</v>
      </c>
      <c r="E29" s="5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 t="s">
        <v>9</v>
      </c>
      <c r="B32" s="2" t="s">
        <v>16</v>
      </c>
      <c r="C32" s="2">
        <f>AVERAGE(C19:C29)</f>
        <v>18.3636363636364</v>
      </c>
    </row>
    <row r="35" spans="1:3">
      <c r="A35" s="3" t="s">
        <v>61</v>
      </c>
      <c r="B35" s="3">
        <v>3</v>
      </c>
      <c r="C35" s="3">
        <v>18</v>
      </c>
    </row>
    <row r="36" spans="1:3">
      <c r="A36" s="3" t="s">
        <v>62</v>
      </c>
      <c r="B36" s="3">
        <v>4</v>
      </c>
      <c r="C36" s="3">
        <v>20</v>
      </c>
    </row>
    <row r="37" spans="1:3">
      <c r="A37" s="3" t="s">
        <v>63</v>
      </c>
      <c r="B37" s="3">
        <v>4</v>
      </c>
      <c r="C37" s="3">
        <v>19</v>
      </c>
    </row>
    <row r="38" spans="1:3">
      <c r="A38" s="3" t="s">
        <v>64</v>
      </c>
      <c r="B38" s="3">
        <v>4</v>
      </c>
      <c r="C38" s="3">
        <v>17</v>
      </c>
    </row>
    <row r="39" spans="1:3">
      <c r="A39" s="3" t="s">
        <v>65</v>
      </c>
      <c r="B39" s="3">
        <v>5</v>
      </c>
      <c r="C39" s="3">
        <v>15</v>
      </c>
    </row>
    <row r="40" spans="1:3">
      <c r="A40" s="3" t="s">
        <v>66</v>
      </c>
      <c r="B40" s="3">
        <v>6</v>
      </c>
      <c r="C40" s="3">
        <v>19</v>
      </c>
    </row>
    <row r="41" spans="1:3">
      <c r="A41" s="3" t="s">
        <v>68</v>
      </c>
      <c r="B41" s="3">
        <v>8</v>
      </c>
      <c r="C41" s="3">
        <v>12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AVERAGE(C35:C41)</f>
        <v>17.1428571428571</v>
      </c>
    </row>
    <row r="47" spans="1:3">
      <c r="A47" s="4" t="s">
        <v>22</v>
      </c>
      <c r="B47" s="4" t="s">
        <v>67</v>
      </c>
      <c r="C47" s="4">
        <f>AVERAGE(C2:C13,C19:C29,C35:C41)</f>
        <v>18.4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3" workbookViewId="0">
      <selection activeCell="E41" sqref="E41"/>
    </sheetView>
  </sheetViews>
  <sheetFormatPr defaultColWidth="9" defaultRowHeight="13.5" outlineLevelCol="4"/>
  <cols>
    <col min="1" max="1" width="17.875" customWidth="1"/>
    <col min="2" max="2" width="9.8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24</v>
      </c>
      <c r="B3" s="1">
        <v>0</v>
      </c>
      <c r="C3" s="1">
        <v>12</v>
      </c>
    </row>
    <row r="4" spans="1:3">
      <c r="A4" s="1" t="s">
        <v>36</v>
      </c>
      <c r="B4" s="1">
        <v>1</v>
      </c>
      <c r="C4" s="1">
        <v>14</v>
      </c>
    </row>
    <row r="5" spans="1:3">
      <c r="A5" s="1" t="s">
        <v>36</v>
      </c>
      <c r="B5" s="1">
        <v>1</v>
      </c>
      <c r="C5" s="1">
        <v>14</v>
      </c>
    </row>
    <row r="6" spans="1:3">
      <c r="A6" s="1" t="s">
        <v>25</v>
      </c>
      <c r="B6" s="1">
        <v>2</v>
      </c>
      <c r="C6" s="1">
        <v>20</v>
      </c>
    </row>
    <row r="7" spans="1:3">
      <c r="A7" s="1" t="s">
        <v>25</v>
      </c>
      <c r="B7" s="1">
        <v>2</v>
      </c>
      <c r="C7" s="1">
        <v>20</v>
      </c>
    </row>
    <row r="8" spans="1:3">
      <c r="A8" s="1" t="s">
        <v>37</v>
      </c>
      <c r="B8" s="1">
        <v>2</v>
      </c>
      <c r="C8" s="1">
        <v>20</v>
      </c>
    </row>
    <row r="9" spans="1:3">
      <c r="A9" s="1" t="s">
        <v>38</v>
      </c>
      <c r="B9" s="1">
        <v>2</v>
      </c>
      <c r="C9" s="1">
        <v>20</v>
      </c>
    </row>
    <row r="10" spans="1:3">
      <c r="A10" s="1" t="s">
        <v>26</v>
      </c>
      <c r="B10" s="1">
        <v>2</v>
      </c>
      <c r="C10" s="1">
        <v>19</v>
      </c>
    </row>
    <row r="11" spans="1:3">
      <c r="A11" s="1" t="s">
        <v>27</v>
      </c>
      <c r="B11" s="1">
        <v>3</v>
      </c>
      <c r="C11" s="1">
        <v>20</v>
      </c>
    </row>
    <row r="12" spans="1:3">
      <c r="A12" s="1" t="s">
        <v>40</v>
      </c>
      <c r="B12" s="1">
        <v>3</v>
      </c>
      <c r="C12" s="1">
        <v>15</v>
      </c>
    </row>
    <row r="13" spans="1:3">
      <c r="A13" s="1" t="s">
        <v>69</v>
      </c>
      <c r="B13" s="1">
        <v>3</v>
      </c>
      <c r="C13" s="1">
        <v>15</v>
      </c>
    </row>
    <row r="14" spans="1:3">
      <c r="A14" s="1" t="s">
        <v>41</v>
      </c>
      <c r="B14" s="1">
        <v>3</v>
      </c>
      <c r="C14" s="1">
        <v>15</v>
      </c>
    </row>
    <row r="15" spans="1:3">
      <c r="A15" s="1" t="s">
        <v>70</v>
      </c>
      <c r="B15" s="1">
        <v>3</v>
      </c>
      <c r="C15" s="1">
        <v>12</v>
      </c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 t="s">
        <v>9</v>
      </c>
      <c r="B18" s="1" t="s">
        <v>10</v>
      </c>
      <c r="C18" s="1">
        <f>AVERAGE(C2:C15)</f>
        <v>16.2857142857143</v>
      </c>
    </row>
    <row r="21" spans="1:3">
      <c r="A21" s="2" t="s">
        <v>28</v>
      </c>
      <c r="B21" s="2">
        <v>2</v>
      </c>
      <c r="C21" s="2">
        <v>20</v>
      </c>
    </row>
    <row r="22" spans="1:3">
      <c r="A22" s="2" t="s">
        <v>42</v>
      </c>
      <c r="B22" s="2">
        <v>2</v>
      </c>
      <c r="C22" s="2">
        <v>20</v>
      </c>
    </row>
    <row r="23" spans="1:3">
      <c r="A23" s="2" t="s">
        <v>29</v>
      </c>
      <c r="B23" s="2">
        <v>2</v>
      </c>
      <c r="C23" s="2">
        <v>15</v>
      </c>
    </row>
    <row r="24" spans="1:3">
      <c r="A24" s="2" t="s">
        <v>29</v>
      </c>
      <c r="B24" s="2">
        <v>2</v>
      </c>
      <c r="C24" s="2">
        <v>14</v>
      </c>
    </row>
    <row r="25" spans="1:3">
      <c r="A25" s="2" t="s">
        <v>71</v>
      </c>
      <c r="B25" s="2">
        <v>2</v>
      </c>
      <c r="C25" s="2">
        <v>14</v>
      </c>
    </row>
    <row r="26" spans="1:3">
      <c r="A26" s="2" t="s">
        <v>43</v>
      </c>
      <c r="B26" s="2">
        <v>2</v>
      </c>
      <c r="C26" s="2">
        <v>13</v>
      </c>
    </row>
    <row r="27" spans="1:3">
      <c r="A27" s="2" t="s">
        <v>72</v>
      </c>
      <c r="B27" s="2">
        <v>2</v>
      </c>
      <c r="C27" s="2">
        <v>12</v>
      </c>
    </row>
    <row r="28" spans="1:3">
      <c r="A28" s="2" t="s">
        <v>30</v>
      </c>
      <c r="B28" s="2">
        <v>3</v>
      </c>
      <c r="C28" s="2">
        <v>20</v>
      </c>
    </row>
    <row r="29" spans="1:5">
      <c r="A29" s="2" t="s">
        <v>30</v>
      </c>
      <c r="B29" s="2">
        <v>3</v>
      </c>
      <c r="C29" s="2">
        <v>20</v>
      </c>
      <c r="E29" s="5"/>
    </row>
    <row r="30" spans="1:5">
      <c r="A30" s="2" t="s">
        <v>30</v>
      </c>
      <c r="B30" s="2">
        <v>3</v>
      </c>
      <c r="C30" s="2">
        <v>20</v>
      </c>
      <c r="E30" s="5"/>
    </row>
    <row r="31" ht="14" customHeight="1" spans="1:5">
      <c r="A31" s="2" t="s">
        <v>44</v>
      </c>
      <c r="B31" s="2">
        <v>4</v>
      </c>
      <c r="C31" s="2">
        <v>14</v>
      </c>
      <c r="E31" s="5"/>
    </row>
    <row r="32" ht="14" customHeight="1" spans="1:5">
      <c r="A32" s="2" t="s">
        <v>31</v>
      </c>
      <c r="B32" s="2">
        <v>5</v>
      </c>
      <c r="C32" s="2">
        <v>18</v>
      </c>
      <c r="E32" s="5"/>
    </row>
    <row r="33" spans="1:5">
      <c r="A33" s="2" t="s">
        <v>32</v>
      </c>
      <c r="B33" s="2">
        <v>7</v>
      </c>
      <c r="C33" s="2">
        <v>20</v>
      </c>
      <c r="E33" s="5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 t="s">
        <v>9</v>
      </c>
      <c r="B36" s="2" t="s">
        <v>16</v>
      </c>
      <c r="C36" s="2">
        <f>AVERAGE(C21:C33)</f>
        <v>16.9230769230769</v>
      </c>
    </row>
    <row r="39" spans="1:3">
      <c r="A39" s="3" t="s">
        <v>62</v>
      </c>
      <c r="B39" s="3">
        <v>4</v>
      </c>
      <c r="C39" s="3">
        <v>20</v>
      </c>
    </row>
    <row r="40" spans="1:3">
      <c r="A40" s="3" t="s">
        <v>47</v>
      </c>
      <c r="B40" s="3">
        <v>4</v>
      </c>
      <c r="C40" s="3">
        <v>14</v>
      </c>
    </row>
    <row r="41" spans="1:3">
      <c r="A41" s="3" t="s">
        <v>65</v>
      </c>
      <c r="B41" s="3">
        <v>5</v>
      </c>
      <c r="C41" s="3">
        <v>15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AVERAGE(C39:C41)</f>
        <v>16.3333333333333</v>
      </c>
    </row>
    <row r="47" spans="1:3">
      <c r="A47" s="4" t="s">
        <v>22</v>
      </c>
      <c r="B47" s="4" t="s">
        <v>67</v>
      </c>
      <c r="C47" s="4">
        <f>AVERAGE(C2:C15,C21:C33,C39:C41)</f>
        <v>16.5666666666667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C42" sqref="C42"/>
    </sheetView>
  </sheetViews>
  <sheetFormatPr defaultColWidth="9" defaultRowHeight="13.5" outlineLevelCol="4"/>
  <cols>
    <col min="1" max="1" width="17.875" customWidth="1"/>
    <col min="2" max="2" width="9.8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36</v>
      </c>
      <c r="B3" s="1">
        <v>1</v>
      </c>
      <c r="C3" s="1">
        <v>14</v>
      </c>
    </row>
    <row r="4" spans="1:3">
      <c r="A4" s="1" t="s">
        <v>36</v>
      </c>
      <c r="B4" s="1">
        <v>1</v>
      </c>
      <c r="C4" s="1">
        <v>14</v>
      </c>
    </row>
    <row r="5" spans="1:3">
      <c r="A5" s="1" t="s">
        <v>73</v>
      </c>
      <c r="B5" s="1">
        <v>1</v>
      </c>
      <c r="C5" s="1">
        <v>12</v>
      </c>
    </row>
    <row r="6" spans="1:3">
      <c r="A6" s="1" t="s">
        <v>25</v>
      </c>
      <c r="B6" s="1">
        <v>2</v>
      </c>
      <c r="C6" s="1">
        <v>20</v>
      </c>
    </row>
    <row r="7" spans="1:3">
      <c r="A7" s="1" t="s">
        <v>25</v>
      </c>
      <c r="B7" s="1">
        <v>2</v>
      </c>
      <c r="C7" s="1">
        <v>20</v>
      </c>
    </row>
    <row r="8" spans="1:3">
      <c r="A8" s="1" t="s">
        <v>37</v>
      </c>
      <c r="B8" s="1">
        <v>2</v>
      </c>
      <c r="C8" s="1">
        <v>20</v>
      </c>
    </row>
    <row r="9" spans="1:3">
      <c r="A9" s="1" t="s">
        <v>38</v>
      </c>
      <c r="B9" s="1">
        <v>2</v>
      </c>
      <c r="C9" s="1">
        <v>20</v>
      </c>
    </row>
    <row r="10" spans="1:3">
      <c r="A10" s="1" t="s">
        <v>26</v>
      </c>
      <c r="B10" s="1">
        <v>2</v>
      </c>
      <c r="C10" s="1">
        <v>19</v>
      </c>
    </row>
    <row r="11" spans="1:3">
      <c r="A11" s="1" t="s">
        <v>27</v>
      </c>
      <c r="B11" s="1">
        <v>3</v>
      </c>
      <c r="C11" s="1">
        <v>20</v>
      </c>
    </row>
    <row r="12" spans="1:3">
      <c r="A12" s="1" t="s">
        <v>40</v>
      </c>
      <c r="B12" s="1">
        <v>3</v>
      </c>
      <c r="C12" s="1">
        <v>15</v>
      </c>
    </row>
    <row r="13" spans="1:3">
      <c r="A13" s="1" t="s">
        <v>69</v>
      </c>
      <c r="B13" s="1">
        <v>3</v>
      </c>
      <c r="C13" s="1">
        <v>15</v>
      </c>
    </row>
    <row r="14" spans="1:3">
      <c r="A14" s="1" t="s">
        <v>41</v>
      </c>
      <c r="B14" s="1">
        <v>3</v>
      </c>
      <c r="C14" s="1">
        <v>15</v>
      </c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 t="s">
        <v>9</v>
      </c>
      <c r="B17" s="1" t="s">
        <v>10</v>
      </c>
      <c r="C17" s="1">
        <f>AVERAGE(C2:C14)</f>
        <v>16.6153846153846</v>
      </c>
    </row>
    <row r="20" spans="1:3">
      <c r="A20" s="2" t="s">
        <v>28</v>
      </c>
      <c r="B20" s="2">
        <v>2</v>
      </c>
      <c r="C20" s="2">
        <v>20</v>
      </c>
    </row>
    <row r="21" spans="1:3">
      <c r="A21" s="2" t="s">
        <v>42</v>
      </c>
      <c r="B21" s="2">
        <v>2</v>
      </c>
      <c r="C21" s="2">
        <v>20</v>
      </c>
    </row>
    <row r="22" spans="1:3">
      <c r="A22" s="2" t="s">
        <v>29</v>
      </c>
      <c r="B22" s="2">
        <v>2</v>
      </c>
      <c r="C22" s="2">
        <v>15</v>
      </c>
    </row>
    <row r="23" spans="1:3">
      <c r="A23" s="2" t="s">
        <v>29</v>
      </c>
      <c r="B23" s="2">
        <v>2</v>
      </c>
      <c r="C23" s="2">
        <v>14</v>
      </c>
    </row>
    <row r="24" spans="1:3">
      <c r="A24" s="2" t="s">
        <v>71</v>
      </c>
      <c r="B24" s="2">
        <v>2</v>
      </c>
      <c r="C24" s="2">
        <v>14</v>
      </c>
    </row>
    <row r="25" spans="1:3">
      <c r="A25" s="2" t="s">
        <v>43</v>
      </c>
      <c r="B25" s="2">
        <v>2</v>
      </c>
      <c r="C25" s="2">
        <v>13</v>
      </c>
    </row>
    <row r="26" spans="1:3">
      <c r="A26" s="2" t="s">
        <v>72</v>
      </c>
      <c r="B26" s="2">
        <v>2</v>
      </c>
      <c r="C26" s="2">
        <v>12</v>
      </c>
    </row>
    <row r="27" spans="1:3">
      <c r="A27" s="2" t="s">
        <v>30</v>
      </c>
      <c r="B27" s="2">
        <v>3</v>
      </c>
      <c r="C27" s="2">
        <v>20</v>
      </c>
    </row>
    <row r="28" spans="1:5">
      <c r="A28" s="2" t="s">
        <v>30</v>
      </c>
      <c r="B28" s="2">
        <v>3</v>
      </c>
      <c r="C28" s="2">
        <v>20</v>
      </c>
      <c r="E28" s="5"/>
    </row>
    <row r="29" spans="1:5">
      <c r="A29" s="2" t="s">
        <v>30</v>
      </c>
      <c r="B29" s="2">
        <v>3</v>
      </c>
      <c r="C29" s="2">
        <v>20</v>
      </c>
      <c r="E29" s="5"/>
    </row>
    <row r="30" ht="14" customHeight="1" spans="1:5">
      <c r="A30" s="2" t="s">
        <v>74</v>
      </c>
      <c r="B30" s="2">
        <v>3</v>
      </c>
      <c r="C30" s="2">
        <v>14</v>
      </c>
      <c r="E30" s="5"/>
    </row>
    <row r="31" ht="14" customHeight="1" spans="1:5">
      <c r="A31" s="2" t="s">
        <v>75</v>
      </c>
      <c r="B31" s="2">
        <v>3</v>
      </c>
      <c r="C31" s="2">
        <v>14</v>
      </c>
      <c r="E31" s="5"/>
    </row>
    <row r="32" ht="14" customHeight="1" spans="1:5">
      <c r="A32" s="2" t="s">
        <v>44</v>
      </c>
      <c r="B32" s="2">
        <v>4</v>
      </c>
      <c r="C32" s="2">
        <v>14</v>
      </c>
      <c r="E32" s="5"/>
    </row>
    <row r="33" ht="14" customHeight="1" spans="1:5">
      <c r="A33" s="2" t="s">
        <v>31</v>
      </c>
      <c r="B33" s="2">
        <v>5</v>
      </c>
      <c r="C33" s="2">
        <v>18</v>
      </c>
      <c r="E33" s="5"/>
    </row>
    <row r="34" ht="14" customHeight="1" spans="1:5">
      <c r="A34" s="2" t="s">
        <v>32</v>
      </c>
      <c r="B34" s="2">
        <v>7</v>
      </c>
      <c r="C34" s="2">
        <v>20</v>
      </c>
      <c r="E34" s="5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 t="s">
        <v>9</v>
      </c>
      <c r="B37" s="2" t="s">
        <v>16</v>
      </c>
      <c r="C37" s="2">
        <f>AVERAGE(C20:C34)</f>
        <v>16.5333333333333</v>
      </c>
    </row>
    <row r="40" spans="1:3">
      <c r="A40" s="3" t="s">
        <v>62</v>
      </c>
      <c r="B40" s="3">
        <v>4</v>
      </c>
      <c r="C40" s="3">
        <v>20</v>
      </c>
    </row>
    <row r="41" spans="1:3">
      <c r="A41" s="3" t="s">
        <v>47</v>
      </c>
      <c r="B41" s="3">
        <v>4</v>
      </c>
      <c r="C41" s="3">
        <v>14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AVERAGE(C40:C41)</f>
        <v>17</v>
      </c>
    </row>
    <row r="47" spans="1:3">
      <c r="A47" s="4" t="s">
        <v>22</v>
      </c>
      <c r="B47" s="4" t="s">
        <v>67</v>
      </c>
      <c r="C47" s="4">
        <f>AVERAGE(C2:C14,C20:C34,C40:C41)</f>
        <v>16.6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6" workbookViewId="0">
      <selection activeCell="F8" sqref="F8"/>
    </sheetView>
  </sheetViews>
  <sheetFormatPr defaultColWidth="9" defaultRowHeight="13.5" outlineLevelCol="4"/>
  <cols>
    <col min="1" max="1" width="17.875" customWidth="1"/>
    <col min="2" max="2" width="9.3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0</v>
      </c>
      <c r="C2" s="1">
        <v>12</v>
      </c>
    </row>
    <row r="3" spans="1:3">
      <c r="A3" s="1" t="s">
        <v>25</v>
      </c>
      <c r="B3" s="1">
        <v>2</v>
      </c>
      <c r="C3" s="1">
        <v>20</v>
      </c>
    </row>
    <row r="4" spans="1:3">
      <c r="A4" s="1" t="s">
        <v>25</v>
      </c>
      <c r="B4" s="1">
        <v>2</v>
      </c>
      <c r="C4" s="1">
        <v>20</v>
      </c>
    </row>
    <row r="5" spans="1:3">
      <c r="A5" s="1" t="s">
        <v>50</v>
      </c>
      <c r="B5" s="1">
        <v>2</v>
      </c>
      <c r="C5" s="1">
        <v>13</v>
      </c>
    </row>
    <row r="6" spans="1:3">
      <c r="A6" s="1" t="s">
        <v>49</v>
      </c>
      <c r="B6" s="1">
        <v>2</v>
      </c>
      <c r="C6" s="1">
        <v>12</v>
      </c>
    </row>
    <row r="7" spans="1:3">
      <c r="A7" s="1" t="s">
        <v>51</v>
      </c>
      <c r="B7" s="1">
        <v>3</v>
      </c>
      <c r="C7" s="1">
        <v>12</v>
      </c>
    </row>
    <row r="8" spans="1:3">
      <c r="A8" s="1" t="s">
        <v>51</v>
      </c>
      <c r="B8" s="1">
        <v>3</v>
      </c>
      <c r="C8" s="1">
        <v>12</v>
      </c>
    </row>
    <row r="9" spans="1:3">
      <c r="A9" s="1" t="s">
        <v>51</v>
      </c>
      <c r="B9" s="1">
        <v>3</v>
      </c>
      <c r="C9" s="1">
        <v>12</v>
      </c>
    </row>
    <row r="10" spans="1:3">
      <c r="A10" s="1" t="s">
        <v>27</v>
      </c>
      <c r="B10" s="1">
        <v>3</v>
      </c>
      <c r="C10" s="1">
        <v>20</v>
      </c>
    </row>
    <row r="11" spans="1:3">
      <c r="A11" s="1" t="s">
        <v>52</v>
      </c>
      <c r="B11" s="1">
        <v>3</v>
      </c>
      <c r="C11" s="1">
        <v>12</v>
      </c>
    </row>
    <row r="12" spans="1:3">
      <c r="A12" s="1" t="s">
        <v>53</v>
      </c>
      <c r="B12" s="1">
        <v>4</v>
      </c>
      <c r="C12" s="1">
        <v>12</v>
      </c>
    </row>
    <row r="13" spans="1:3">
      <c r="A13" s="1" t="s">
        <v>76</v>
      </c>
      <c r="B13" s="1">
        <v>4</v>
      </c>
      <c r="C13" s="1">
        <v>12</v>
      </c>
    </row>
    <row r="14" spans="1:3">
      <c r="A14" s="1" t="s">
        <v>76</v>
      </c>
      <c r="B14" s="1">
        <v>4</v>
      </c>
      <c r="C14" s="1">
        <v>12</v>
      </c>
    </row>
    <row r="15" spans="1:3">
      <c r="A15" s="1" t="s">
        <v>76</v>
      </c>
      <c r="B15" s="1">
        <v>4</v>
      </c>
      <c r="C15" s="1">
        <v>12</v>
      </c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 t="s">
        <v>9</v>
      </c>
      <c r="B18" s="1" t="s">
        <v>10</v>
      </c>
      <c r="C18" s="1">
        <f>AVERAGE(C2:C15)</f>
        <v>13.7857142857143</v>
      </c>
    </row>
    <row r="21" spans="1:3">
      <c r="A21" s="2" t="s">
        <v>28</v>
      </c>
      <c r="B21" s="2">
        <v>2</v>
      </c>
      <c r="C21" s="2">
        <v>20</v>
      </c>
    </row>
    <row r="22" spans="1:3">
      <c r="A22" s="2" t="s">
        <v>29</v>
      </c>
      <c r="B22" s="2">
        <v>2</v>
      </c>
      <c r="C22" s="2">
        <v>15</v>
      </c>
    </row>
    <row r="23" spans="1:3">
      <c r="A23" s="2" t="s">
        <v>29</v>
      </c>
      <c r="B23" s="2">
        <v>2</v>
      </c>
      <c r="C23" s="2">
        <v>14</v>
      </c>
    </row>
    <row r="24" spans="1:3">
      <c r="A24" s="2" t="s">
        <v>30</v>
      </c>
      <c r="B24" s="2">
        <v>3</v>
      </c>
      <c r="C24" s="2">
        <v>20</v>
      </c>
    </row>
    <row r="25" spans="1:3">
      <c r="A25" s="2" t="s">
        <v>30</v>
      </c>
      <c r="B25" s="2">
        <v>3</v>
      </c>
      <c r="C25" s="2">
        <v>20</v>
      </c>
    </row>
    <row r="26" spans="1:3">
      <c r="A26" s="2" t="s">
        <v>30</v>
      </c>
      <c r="B26" s="2">
        <v>3</v>
      </c>
      <c r="C26" s="2">
        <v>20</v>
      </c>
    </row>
    <row r="27" spans="1:3">
      <c r="A27" s="2" t="s">
        <v>74</v>
      </c>
      <c r="B27" s="2">
        <v>3</v>
      </c>
      <c r="C27" s="2">
        <v>14</v>
      </c>
    </row>
    <row r="28" spans="1:5">
      <c r="A28" s="2" t="s">
        <v>56</v>
      </c>
      <c r="B28" s="2">
        <v>4</v>
      </c>
      <c r="C28" s="2">
        <v>12</v>
      </c>
      <c r="E28" s="5"/>
    </row>
    <row r="29" spans="1:5">
      <c r="A29" s="2" t="s">
        <v>57</v>
      </c>
      <c r="B29" s="2">
        <v>4</v>
      </c>
      <c r="C29" s="2">
        <v>12</v>
      </c>
      <c r="E29" s="5"/>
    </row>
    <row r="30" ht="14" customHeight="1" spans="1:5">
      <c r="A30" s="2" t="s">
        <v>31</v>
      </c>
      <c r="B30" s="2">
        <v>5</v>
      </c>
      <c r="C30" s="2">
        <v>18</v>
      </c>
      <c r="E30" s="5"/>
    </row>
    <row r="31" spans="1:5">
      <c r="A31" s="2" t="s">
        <v>58</v>
      </c>
      <c r="B31" s="2">
        <v>5</v>
      </c>
      <c r="C31" s="2">
        <v>12</v>
      </c>
      <c r="E31" s="5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 t="s">
        <v>9</v>
      </c>
      <c r="B34" s="2" t="s">
        <v>16</v>
      </c>
      <c r="C34" s="2">
        <f>AVERAGE(C21:C31)</f>
        <v>16.0909090909091</v>
      </c>
    </row>
    <row r="37" spans="1:3">
      <c r="A37" s="3" t="s">
        <v>62</v>
      </c>
      <c r="B37" s="3">
        <v>4</v>
      </c>
      <c r="C37" s="3">
        <v>20</v>
      </c>
    </row>
    <row r="38" spans="1:3">
      <c r="A38" s="3" t="s">
        <v>77</v>
      </c>
      <c r="B38" s="3">
        <v>4</v>
      </c>
      <c r="C38" s="3">
        <v>18</v>
      </c>
    </row>
    <row r="39" spans="1:3">
      <c r="A39" s="3" t="s">
        <v>78</v>
      </c>
      <c r="B39" s="3">
        <v>4</v>
      </c>
      <c r="C39" s="3">
        <v>12</v>
      </c>
    </row>
    <row r="40" spans="1:3">
      <c r="A40" s="3" t="s">
        <v>65</v>
      </c>
      <c r="B40" s="3">
        <v>5</v>
      </c>
      <c r="C40" s="3">
        <v>15</v>
      </c>
    </row>
    <row r="41" spans="1:3">
      <c r="A41" s="3" t="s">
        <v>79</v>
      </c>
      <c r="B41" s="3">
        <v>6</v>
      </c>
      <c r="C41" s="3">
        <v>12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9</v>
      </c>
      <c r="B44" s="3" t="s">
        <v>21</v>
      </c>
      <c r="C44" s="3">
        <f>AVERAGE(C37:C41)</f>
        <v>15.4</v>
      </c>
    </row>
    <row r="46" spans="2:2">
      <c r="B46" s="4" t="s">
        <v>67</v>
      </c>
    </row>
    <row r="47" spans="1:3">
      <c r="A47" s="4" t="s">
        <v>22</v>
      </c>
      <c r="C47" s="4">
        <f>AVERAGE(C2:C15,C21:C31,C37:C41)</f>
        <v>14.9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7"/>
  <sheetViews>
    <sheetView topLeftCell="E1" workbookViewId="0">
      <selection activeCell="E15" sqref="E15"/>
    </sheetView>
  </sheetViews>
  <sheetFormatPr defaultColWidth="9" defaultRowHeight="13.5" outlineLevelCol="4"/>
  <cols>
    <col min="1" max="1" width="10.625" customWidth="1"/>
    <col min="2" max="2" width="18.5" customWidth="1"/>
    <col min="3" max="3" width="12.125" customWidth="1"/>
    <col min="4" max="4" width="11.125" customWidth="1"/>
    <col min="5" max="5" width="158.758333333333" customWidth="1"/>
  </cols>
  <sheetData>
    <row r="1" spans="1:5">
      <c r="A1" t="s">
        <v>80</v>
      </c>
      <c r="B1" t="s">
        <v>0</v>
      </c>
      <c r="C1" t="s">
        <v>81</v>
      </c>
      <c r="D1" t="s">
        <v>1</v>
      </c>
      <c r="E1" t="s">
        <v>82</v>
      </c>
    </row>
    <row r="2" spans="3:3">
      <c r="C2" s="1"/>
    </row>
    <row r="3" spans="1:5">
      <c r="A3" t="s">
        <v>83</v>
      </c>
      <c r="B3" t="s">
        <v>3</v>
      </c>
      <c r="C3" s="1" t="s">
        <v>84</v>
      </c>
      <c r="D3">
        <v>1</v>
      </c>
      <c r="E3" t="s">
        <v>85</v>
      </c>
    </row>
    <row r="4" spans="1:5">
      <c r="A4" t="s">
        <v>83</v>
      </c>
      <c r="B4" t="s">
        <v>86</v>
      </c>
      <c r="C4" s="1" t="s">
        <v>84</v>
      </c>
      <c r="D4">
        <v>2</v>
      </c>
      <c r="E4" t="s">
        <v>87</v>
      </c>
    </row>
    <row r="5" spans="1:5">
      <c r="A5" t="s">
        <v>83</v>
      </c>
      <c r="B5" t="s">
        <v>4</v>
      </c>
      <c r="C5" s="1" t="s">
        <v>84</v>
      </c>
      <c r="D5">
        <v>2</v>
      </c>
      <c r="E5" t="s">
        <v>88</v>
      </c>
    </row>
    <row r="6" spans="1:5">
      <c r="A6" t="s">
        <v>83</v>
      </c>
      <c r="B6" t="s">
        <v>89</v>
      </c>
      <c r="C6" s="1" t="s">
        <v>84</v>
      </c>
      <c r="D6">
        <v>3</v>
      </c>
      <c r="E6" t="s">
        <v>90</v>
      </c>
    </row>
    <row r="7" spans="1:5">
      <c r="A7" t="s">
        <v>83</v>
      </c>
      <c r="B7" t="s">
        <v>7</v>
      </c>
      <c r="C7" s="1" t="s">
        <v>84</v>
      </c>
      <c r="D7">
        <v>3</v>
      </c>
      <c r="E7" t="s">
        <v>91</v>
      </c>
    </row>
    <row r="8" spans="1:5">
      <c r="A8" t="s">
        <v>83</v>
      </c>
      <c r="B8" t="s">
        <v>92</v>
      </c>
      <c r="C8" s="1" t="s">
        <v>84</v>
      </c>
      <c r="D8">
        <v>3</v>
      </c>
      <c r="E8" t="s">
        <v>93</v>
      </c>
    </row>
    <row r="9" spans="1:5">
      <c r="A9" t="s">
        <v>83</v>
      </c>
      <c r="B9" t="s">
        <v>6</v>
      </c>
      <c r="C9" s="1" t="s">
        <v>84</v>
      </c>
      <c r="D9">
        <v>3</v>
      </c>
      <c r="E9" t="s">
        <v>94</v>
      </c>
    </row>
    <row r="10" spans="1:5">
      <c r="A10" t="s">
        <v>83</v>
      </c>
      <c r="B10" t="s">
        <v>95</v>
      </c>
      <c r="C10" s="1" t="s">
        <v>84</v>
      </c>
      <c r="D10">
        <v>4</v>
      </c>
      <c r="E10" t="s">
        <v>96</v>
      </c>
    </row>
    <row r="11" spans="1:5">
      <c r="A11" t="s">
        <v>83</v>
      </c>
      <c r="B11" t="s">
        <v>8</v>
      </c>
      <c r="C11" s="1" t="s">
        <v>84</v>
      </c>
      <c r="D11">
        <v>5</v>
      </c>
      <c r="E11" t="s">
        <v>97</v>
      </c>
    </row>
    <row r="12" spans="1:5">
      <c r="A12" t="s">
        <v>83</v>
      </c>
      <c r="B12" t="s">
        <v>12</v>
      </c>
      <c r="C12" s="2" t="s">
        <v>98</v>
      </c>
      <c r="D12">
        <v>2</v>
      </c>
      <c r="E12" t="s">
        <v>99</v>
      </c>
    </row>
    <row r="13" spans="1:5">
      <c r="A13" t="s">
        <v>83</v>
      </c>
      <c r="B13" t="s">
        <v>100</v>
      </c>
      <c r="C13" s="2" t="s">
        <v>98</v>
      </c>
      <c r="D13">
        <v>3</v>
      </c>
      <c r="E13" t="s">
        <v>101</v>
      </c>
    </row>
    <row r="14" spans="1:5">
      <c r="A14" t="s">
        <v>83</v>
      </c>
      <c r="B14" t="s">
        <v>102</v>
      </c>
      <c r="C14" s="2" t="s">
        <v>98</v>
      </c>
      <c r="D14">
        <v>3</v>
      </c>
      <c r="E14" t="s">
        <v>103</v>
      </c>
    </row>
    <row r="15" spans="1:5">
      <c r="A15" t="s">
        <v>83</v>
      </c>
      <c r="B15" t="s">
        <v>104</v>
      </c>
      <c r="C15" s="2" t="s">
        <v>98</v>
      </c>
      <c r="D15">
        <v>4</v>
      </c>
      <c r="E15" t="s">
        <v>105</v>
      </c>
    </row>
    <row r="16" spans="1:5">
      <c r="A16" t="s">
        <v>83</v>
      </c>
      <c r="B16" t="s">
        <v>14</v>
      </c>
      <c r="C16" s="2" t="s">
        <v>98</v>
      </c>
      <c r="D16">
        <v>4</v>
      </c>
      <c r="E16" t="s">
        <v>106</v>
      </c>
    </row>
    <row r="17" spans="1:5">
      <c r="A17" t="s">
        <v>83</v>
      </c>
      <c r="B17" t="s">
        <v>13</v>
      </c>
      <c r="C17" s="2" t="s">
        <v>98</v>
      </c>
      <c r="D17">
        <v>4</v>
      </c>
      <c r="E17" t="s">
        <v>107</v>
      </c>
    </row>
    <row r="18" spans="1:5">
      <c r="A18" t="s">
        <v>83</v>
      </c>
      <c r="B18" t="s">
        <v>108</v>
      </c>
      <c r="C18" s="2" t="s">
        <v>98</v>
      </c>
      <c r="D18">
        <v>5</v>
      </c>
      <c r="E18" t="s">
        <v>109</v>
      </c>
    </row>
    <row r="19" spans="1:5">
      <c r="A19" t="s">
        <v>83</v>
      </c>
      <c r="B19" t="s">
        <v>15</v>
      </c>
      <c r="C19" s="2" t="s">
        <v>98</v>
      </c>
      <c r="D19">
        <v>6</v>
      </c>
      <c r="E19" t="s">
        <v>110</v>
      </c>
    </row>
    <row r="20" spans="1:5">
      <c r="A20" t="s">
        <v>83</v>
      </c>
      <c r="B20" t="s">
        <v>111</v>
      </c>
      <c r="C20" s="2" t="s">
        <v>98</v>
      </c>
      <c r="D20">
        <v>6</v>
      </c>
      <c r="E20" t="s">
        <v>112</v>
      </c>
    </row>
    <row r="21" spans="1:5">
      <c r="A21" t="s">
        <v>83</v>
      </c>
      <c r="B21" t="s">
        <v>61</v>
      </c>
      <c r="C21" s="5" t="s">
        <v>113</v>
      </c>
      <c r="D21">
        <v>3</v>
      </c>
      <c r="E21" t="s">
        <v>114</v>
      </c>
    </row>
    <row r="22" spans="1:5">
      <c r="A22" t="s">
        <v>83</v>
      </c>
      <c r="B22" t="s">
        <v>115</v>
      </c>
      <c r="C22" s="5" t="s">
        <v>113</v>
      </c>
      <c r="D22">
        <v>4</v>
      </c>
      <c r="E22" t="s">
        <v>116</v>
      </c>
    </row>
    <row r="23" spans="1:5">
      <c r="A23" t="s">
        <v>83</v>
      </c>
      <c r="B23" t="s">
        <v>64</v>
      </c>
      <c r="C23" s="5" t="s">
        <v>113</v>
      </c>
      <c r="D23">
        <v>4</v>
      </c>
      <c r="E23" t="s">
        <v>117</v>
      </c>
    </row>
    <row r="24" spans="1:5">
      <c r="A24" t="s">
        <v>83</v>
      </c>
      <c r="B24" t="s">
        <v>66</v>
      </c>
      <c r="C24" s="5" t="s">
        <v>113</v>
      </c>
      <c r="D24">
        <v>6</v>
      </c>
      <c r="E24" t="s">
        <v>118</v>
      </c>
    </row>
    <row r="27" spans="1:5">
      <c r="A27" t="s">
        <v>119</v>
      </c>
      <c r="B27" t="s">
        <v>24</v>
      </c>
      <c r="C27" s="1" t="s">
        <v>84</v>
      </c>
      <c r="D27">
        <v>0</v>
      </c>
      <c r="E27" t="s">
        <v>120</v>
      </c>
    </row>
    <row r="28" spans="1:5">
      <c r="A28" t="s">
        <v>119</v>
      </c>
      <c r="B28" t="s">
        <v>121</v>
      </c>
      <c r="C28" s="1" t="s">
        <v>84</v>
      </c>
      <c r="D28">
        <v>2</v>
      </c>
      <c r="E28" t="s">
        <v>122</v>
      </c>
    </row>
    <row r="29" spans="1:5">
      <c r="A29" t="s">
        <v>119</v>
      </c>
      <c r="B29" t="s">
        <v>25</v>
      </c>
      <c r="C29" s="1" t="s">
        <v>84</v>
      </c>
      <c r="D29">
        <v>2</v>
      </c>
      <c r="E29" t="s">
        <v>123</v>
      </c>
    </row>
    <row r="30" spans="1:5">
      <c r="A30" t="s">
        <v>119</v>
      </c>
      <c r="B30" t="s">
        <v>27</v>
      </c>
      <c r="C30" s="1" t="s">
        <v>84</v>
      </c>
      <c r="D30">
        <v>3</v>
      </c>
      <c r="E30" t="s">
        <v>124</v>
      </c>
    </row>
    <row r="31" spans="1:5">
      <c r="A31" t="s">
        <v>119</v>
      </c>
      <c r="B31" t="s">
        <v>125</v>
      </c>
      <c r="C31" s="1" t="s">
        <v>84</v>
      </c>
      <c r="D31">
        <v>4</v>
      </c>
      <c r="E31" t="s">
        <v>126</v>
      </c>
    </row>
    <row r="32" spans="1:5">
      <c r="A32" t="s">
        <v>119</v>
      </c>
      <c r="B32" t="s">
        <v>127</v>
      </c>
      <c r="C32" s="1" t="s">
        <v>84</v>
      </c>
      <c r="D32">
        <v>5</v>
      </c>
      <c r="E32" t="s">
        <v>128</v>
      </c>
    </row>
    <row r="33" spans="1:5">
      <c r="A33" t="s">
        <v>119</v>
      </c>
      <c r="B33" t="s">
        <v>129</v>
      </c>
      <c r="C33" s="2" t="s">
        <v>98</v>
      </c>
      <c r="D33">
        <v>1</v>
      </c>
      <c r="E33" t="s">
        <v>130</v>
      </c>
    </row>
    <row r="34" spans="1:5">
      <c r="A34" t="s">
        <v>119</v>
      </c>
      <c r="B34" t="s">
        <v>28</v>
      </c>
      <c r="C34" s="2" t="s">
        <v>98</v>
      </c>
      <c r="D34">
        <v>2</v>
      </c>
      <c r="E34" t="s">
        <v>131</v>
      </c>
    </row>
    <row r="35" spans="1:5">
      <c r="A35" t="s">
        <v>119</v>
      </c>
      <c r="B35" t="s">
        <v>29</v>
      </c>
      <c r="C35" s="2" t="s">
        <v>98</v>
      </c>
      <c r="D35">
        <v>2</v>
      </c>
      <c r="E35" t="s">
        <v>132</v>
      </c>
    </row>
    <row r="36" spans="1:5">
      <c r="A36" t="s">
        <v>119</v>
      </c>
      <c r="B36" t="s">
        <v>133</v>
      </c>
      <c r="C36" s="2" t="s">
        <v>98</v>
      </c>
      <c r="D36">
        <v>2</v>
      </c>
      <c r="E36" t="s">
        <v>134</v>
      </c>
    </row>
    <row r="37" spans="1:5">
      <c r="A37" t="s">
        <v>119</v>
      </c>
      <c r="B37" t="s">
        <v>74</v>
      </c>
      <c r="C37" s="2" t="s">
        <v>98</v>
      </c>
      <c r="D37">
        <v>3</v>
      </c>
      <c r="E37" t="s">
        <v>135</v>
      </c>
    </row>
    <row r="38" spans="1:5">
      <c r="A38" t="s">
        <v>119</v>
      </c>
      <c r="B38" t="s">
        <v>30</v>
      </c>
      <c r="C38" s="2" t="s">
        <v>98</v>
      </c>
      <c r="D38">
        <v>3</v>
      </c>
      <c r="E38" t="s">
        <v>136</v>
      </c>
    </row>
    <row r="39" spans="1:5">
      <c r="A39" t="s">
        <v>119</v>
      </c>
      <c r="B39" t="s">
        <v>137</v>
      </c>
      <c r="C39" s="2" t="s">
        <v>98</v>
      </c>
      <c r="D39">
        <v>4</v>
      </c>
      <c r="E39" t="s">
        <v>138</v>
      </c>
    </row>
    <row r="40" spans="1:5">
      <c r="A40" t="s">
        <v>119</v>
      </c>
      <c r="B40" t="s">
        <v>139</v>
      </c>
      <c r="C40" s="2" t="s">
        <v>98</v>
      </c>
      <c r="D40">
        <v>4</v>
      </c>
      <c r="E40" t="s">
        <v>140</v>
      </c>
    </row>
    <row r="41" spans="1:5">
      <c r="A41" t="s">
        <v>119</v>
      </c>
      <c r="B41" t="s">
        <v>141</v>
      </c>
      <c r="C41" s="2" t="s">
        <v>98</v>
      </c>
      <c r="D41">
        <v>4</v>
      </c>
      <c r="E41" t="s">
        <v>142</v>
      </c>
    </row>
    <row r="42" spans="1:5">
      <c r="A42" t="s">
        <v>119</v>
      </c>
      <c r="B42" t="s">
        <v>31</v>
      </c>
      <c r="C42" s="2" t="s">
        <v>98</v>
      </c>
      <c r="D42">
        <v>5</v>
      </c>
      <c r="E42" t="s">
        <v>143</v>
      </c>
    </row>
    <row r="43" spans="1:5">
      <c r="A43" t="s">
        <v>119</v>
      </c>
      <c r="B43" t="s">
        <v>32</v>
      </c>
      <c r="C43" s="2" t="s">
        <v>98</v>
      </c>
      <c r="D43">
        <v>7</v>
      </c>
      <c r="E43" t="s">
        <v>144</v>
      </c>
    </row>
    <row r="44" spans="1:5">
      <c r="A44" t="s">
        <v>119</v>
      </c>
      <c r="B44" t="s">
        <v>65</v>
      </c>
      <c r="C44" s="5" t="s">
        <v>113</v>
      </c>
      <c r="D44">
        <v>5</v>
      </c>
      <c r="E44" t="s">
        <v>145</v>
      </c>
    </row>
    <row r="45" spans="1:5">
      <c r="A45" t="s">
        <v>119</v>
      </c>
      <c r="B45" t="s">
        <v>79</v>
      </c>
      <c r="C45" s="5" t="s">
        <v>113</v>
      </c>
      <c r="D45">
        <v>6</v>
      </c>
      <c r="E45" t="s">
        <v>146</v>
      </c>
    </row>
    <row r="48" spans="1:5">
      <c r="A48" t="s">
        <v>147</v>
      </c>
      <c r="B48" t="s">
        <v>49</v>
      </c>
      <c r="C48" s="1" t="s">
        <v>84</v>
      </c>
      <c r="D48">
        <v>2</v>
      </c>
      <c r="E48" t="s">
        <v>148</v>
      </c>
    </row>
    <row r="49" spans="1:5">
      <c r="A49" t="s">
        <v>147</v>
      </c>
      <c r="B49" t="s">
        <v>50</v>
      </c>
      <c r="C49" s="1" t="s">
        <v>84</v>
      </c>
      <c r="D49">
        <v>2</v>
      </c>
      <c r="E49" t="s">
        <v>149</v>
      </c>
    </row>
    <row r="50" spans="1:5">
      <c r="A50" t="s">
        <v>147</v>
      </c>
      <c r="B50" t="s">
        <v>150</v>
      </c>
      <c r="C50" s="1" t="s">
        <v>84</v>
      </c>
      <c r="D50">
        <v>2</v>
      </c>
      <c r="E50" t="s">
        <v>151</v>
      </c>
    </row>
    <row r="51" spans="1:5">
      <c r="A51" t="s">
        <v>147</v>
      </c>
      <c r="B51" t="s">
        <v>52</v>
      </c>
      <c r="C51" s="1" t="s">
        <v>84</v>
      </c>
      <c r="D51">
        <v>3</v>
      </c>
      <c r="E51" t="s">
        <v>152</v>
      </c>
    </row>
    <row r="52" spans="1:5">
      <c r="A52" t="s">
        <v>147</v>
      </c>
      <c r="B52" t="s">
        <v>153</v>
      </c>
      <c r="C52" s="1" t="s">
        <v>84</v>
      </c>
      <c r="D52">
        <v>3</v>
      </c>
      <c r="E52" t="s">
        <v>154</v>
      </c>
    </row>
    <row r="53" spans="1:5">
      <c r="A53" t="s">
        <v>147</v>
      </c>
      <c r="B53" t="s">
        <v>53</v>
      </c>
      <c r="C53" s="1" t="s">
        <v>84</v>
      </c>
      <c r="D53">
        <v>4</v>
      </c>
      <c r="E53" t="s">
        <v>155</v>
      </c>
    </row>
    <row r="54" spans="1:5">
      <c r="A54" t="s">
        <v>147</v>
      </c>
      <c r="B54" t="s">
        <v>54</v>
      </c>
      <c r="C54" s="2" t="s">
        <v>98</v>
      </c>
      <c r="D54">
        <v>2</v>
      </c>
      <c r="E54" t="s">
        <v>156</v>
      </c>
    </row>
    <row r="55" spans="1:5">
      <c r="A55" t="s">
        <v>147</v>
      </c>
      <c r="B55" t="s">
        <v>55</v>
      </c>
      <c r="C55" s="2" t="s">
        <v>98</v>
      </c>
      <c r="D55">
        <v>3</v>
      </c>
      <c r="E55" t="s">
        <v>157</v>
      </c>
    </row>
    <row r="56" spans="1:5">
      <c r="A56" t="s">
        <v>147</v>
      </c>
      <c r="B56" t="s">
        <v>56</v>
      </c>
      <c r="C56" s="2" t="s">
        <v>98</v>
      </c>
      <c r="D56">
        <v>4</v>
      </c>
      <c r="E56" t="s">
        <v>158</v>
      </c>
    </row>
    <row r="57" spans="1:5">
      <c r="A57" t="s">
        <v>147</v>
      </c>
      <c r="B57" t="s">
        <v>57</v>
      </c>
      <c r="C57" s="2" t="s">
        <v>98</v>
      </c>
      <c r="D57">
        <v>4</v>
      </c>
      <c r="E57" t="s">
        <v>159</v>
      </c>
    </row>
    <row r="58" spans="1:5">
      <c r="A58" t="s">
        <v>147</v>
      </c>
      <c r="B58" t="s">
        <v>160</v>
      </c>
      <c r="C58" s="2" t="s">
        <v>98</v>
      </c>
      <c r="D58">
        <v>5</v>
      </c>
      <c r="E58" t="s">
        <v>161</v>
      </c>
    </row>
    <row r="59" spans="1:5">
      <c r="A59" t="s">
        <v>147</v>
      </c>
      <c r="B59" t="s">
        <v>77</v>
      </c>
      <c r="C59" s="5" t="s">
        <v>113</v>
      </c>
      <c r="D59">
        <v>4</v>
      </c>
      <c r="E59" t="s">
        <v>162</v>
      </c>
    </row>
    <row r="62" spans="1:5">
      <c r="A62" t="s">
        <v>163</v>
      </c>
      <c r="B62" t="s">
        <v>37</v>
      </c>
      <c r="C62" s="1" t="s">
        <v>84</v>
      </c>
      <c r="D62">
        <v>2</v>
      </c>
      <c r="E62" t="s">
        <v>164</v>
      </c>
    </row>
    <row r="63" spans="1:5">
      <c r="A63" t="s">
        <v>163</v>
      </c>
      <c r="B63" t="s">
        <v>165</v>
      </c>
      <c r="C63" s="1" t="s">
        <v>84</v>
      </c>
      <c r="D63">
        <v>2</v>
      </c>
      <c r="E63" t="s">
        <v>166</v>
      </c>
    </row>
    <row r="64" spans="1:5">
      <c r="A64" t="s">
        <v>163</v>
      </c>
      <c r="B64" t="s">
        <v>167</v>
      </c>
      <c r="C64" s="1" t="s">
        <v>84</v>
      </c>
      <c r="D64">
        <v>2</v>
      </c>
      <c r="E64" t="s">
        <v>168</v>
      </c>
    </row>
    <row r="65" spans="1:5">
      <c r="A65" t="s">
        <v>163</v>
      </c>
      <c r="B65" t="s">
        <v>38</v>
      </c>
      <c r="C65" s="1" t="s">
        <v>84</v>
      </c>
      <c r="D65">
        <v>2</v>
      </c>
      <c r="E65" t="s">
        <v>169</v>
      </c>
    </row>
    <row r="66" spans="1:5">
      <c r="A66" t="s">
        <v>163</v>
      </c>
      <c r="B66" t="s">
        <v>170</v>
      </c>
      <c r="C66" s="1" t="s">
        <v>84</v>
      </c>
      <c r="D66">
        <v>2</v>
      </c>
      <c r="E66" t="s">
        <v>171</v>
      </c>
    </row>
    <row r="67" spans="1:5">
      <c r="A67" t="s">
        <v>163</v>
      </c>
      <c r="B67" t="s">
        <v>40</v>
      </c>
      <c r="C67" s="1" t="s">
        <v>84</v>
      </c>
      <c r="D67">
        <v>3</v>
      </c>
      <c r="E67" t="s">
        <v>172</v>
      </c>
    </row>
    <row r="68" spans="1:5">
      <c r="A68" t="s">
        <v>163</v>
      </c>
      <c r="B68" t="s">
        <v>41</v>
      </c>
      <c r="C68" s="1" t="s">
        <v>84</v>
      </c>
      <c r="D68">
        <v>3</v>
      </c>
      <c r="E68" t="s">
        <v>173</v>
      </c>
    </row>
    <row r="69" spans="1:5">
      <c r="A69" t="s">
        <v>163</v>
      </c>
      <c r="B69" t="s">
        <v>71</v>
      </c>
      <c r="C69" s="2" t="s">
        <v>98</v>
      </c>
      <c r="D69">
        <v>2</v>
      </c>
      <c r="E69" t="s">
        <v>174</v>
      </c>
    </row>
    <row r="70" spans="1:5">
      <c r="A70" t="s">
        <v>163</v>
      </c>
      <c r="B70" t="s">
        <v>175</v>
      </c>
      <c r="C70" s="2" t="s">
        <v>98</v>
      </c>
      <c r="D70">
        <v>2</v>
      </c>
      <c r="E70" t="s">
        <v>176</v>
      </c>
    </row>
    <row r="71" spans="1:5">
      <c r="A71" t="s">
        <v>163</v>
      </c>
      <c r="B71" t="s">
        <v>42</v>
      </c>
      <c r="C71" s="2" t="s">
        <v>98</v>
      </c>
      <c r="D71">
        <v>2</v>
      </c>
      <c r="E71" t="s">
        <v>177</v>
      </c>
    </row>
    <row r="72" spans="1:5">
      <c r="A72" t="s">
        <v>163</v>
      </c>
      <c r="B72" t="s">
        <v>43</v>
      </c>
      <c r="C72" s="2" t="s">
        <v>98</v>
      </c>
      <c r="D72">
        <v>2</v>
      </c>
      <c r="E72" t="s">
        <v>178</v>
      </c>
    </row>
    <row r="73" spans="1:5">
      <c r="A73" t="s">
        <v>163</v>
      </c>
      <c r="B73" t="s">
        <v>179</v>
      </c>
      <c r="C73" s="2" t="s">
        <v>98</v>
      </c>
      <c r="D73">
        <v>3</v>
      </c>
      <c r="E73" t="s">
        <v>180</v>
      </c>
    </row>
    <row r="74" spans="1:5">
      <c r="A74" t="s">
        <v>163</v>
      </c>
      <c r="B74" t="s">
        <v>181</v>
      </c>
      <c r="C74" s="2" t="s">
        <v>98</v>
      </c>
      <c r="D74">
        <v>4</v>
      </c>
      <c r="E74" t="s">
        <v>182</v>
      </c>
    </row>
    <row r="75" spans="1:5">
      <c r="A75" t="s">
        <v>163</v>
      </c>
      <c r="B75" t="s">
        <v>183</v>
      </c>
      <c r="C75" s="5" t="s">
        <v>113</v>
      </c>
      <c r="D75">
        <v>4</v>
      </c>
      <c r="E75" t="s">
        <v>184</v>
      </c>
    </row>
    <row r="78" spans="1:5">
      <c r="A78" t="s">
        <v>185</v>
      </c>
      <c r="B78" t="s">
        <v>186</v>
      </c>
      <c r="C78" s="1" t="s">
        <v>84</v>
      </c>
      <c r="D78">
        <v>2</v>
      </c>
      <c r="E78" t="s">
        <v>187</v>
      </c>
    </row>
    <row r="79" spans="1:5">
      <c r="A79" t="s">
        <v>185</v>
      </c>
      <c r="B79" t="s">
        <v>188</v>
      </c>
      <c r="C79" s="1" t="s">
        <v>84</v>
      </c>
      <c r="D79">
        <v>2</v>
      </c>
      <c r="E79" t="s">
        <v>189</v>
      </c>
    </row>
    <row r="80" spans="1:5">
      <c r="A80" t="s">
        <v>185</v>
      </c>
      <c r="B80" t="s">
        <v>190</v>
      </c>
      <c r="C80" s="1" t="s">
        <v>84</v>
      </c>
      <c r="D80">
        <v>3</v>
      </c>
      <c r="E80" t="s">
        <v>191</v>
      </c>
    </row>
    <row r="81" spans="1:5">
      <c r="A81" t="s">
        <v>185</v>
      </c>
      <c r="B81" t="s">
        <v>192</v>
      </c>
      <c r="C81" s="1" t="s">
        <v>84</v>
      </c>
      <c r="D81">
        <v>4</v>
      </c>
      <c r="E81" t="s">
        <v>193</v>
      </c>
    </row>
    <row r="82" spans="1:5">
      <c r="A82" t="s">
        <v>185</v>
      </c>
      <c r="B82" t="s">
        <v>194</v>
      </c>
      <c r="C82" s="2" t="s">
        <v>98</v>
      </c>
      <c r="D82">
        <v>3</v>
      </c>
      <c r="E82" t="s">
        <v>195</v>
      </c>
    </row>
    <row r="83" spans="1:5">
      <c r="A83" t="s">
        <v>185</v>
      </c>
      <c r="B83" t="s">
        <v>196</v>
      </c>
      <c r="C83" s="2" t="s">
        <v>98</v>
      </c>
      <c r="D83">
        <v>5</v>
      </c>
      <c r="E83" t="s">
        <v>197</v>
      </c>
    </row>
    <row r="86" spans="1:5">
      <c r="A86" t="s">
        <v>198</v>
      </c>
      <c r="B86" t="s">
        <v>199</v>
      </c>
      <c r="C86" s="1" t="s">
        <v>84</v>
      </c>
      <c r="D86">
        <v>0</v>
      </c>
      <c r="E86" t="s">
        <v>200</v>
      </c>
    </row>
    <row r="87" spans="1:5">
      <c r="A87" t="s">
        <v>198</v>
      </c>
      <c r="B87" t="s">
        <v>201</v>
      </c>
      <c r="C87" s="1" t="s">
        <v>84</v>
      </c>
      <c r="D87">
        <v>2</v>
      </c>
      <c r="E87" t="s">
        <v>202</v>
      </c>
    </row>
    <row r="88" spans="1:5">
      <c r="A88" t="s">
        <v>198</v>
      </c>
      <c r="B88" t="s">
        <v>203</v>
      </c>
      <c r="C88" s="1" t="s">
        <v>84</v>
      </c>
      <c r="D88">
        <v>2</v>
      </c>
      <c r="E88" t="s">
        <v>204</v>
      </c>
    </row>
    <row r="89" spans="1:5">
      <c r="A89" t="s">
        <v>198</v>
      </c>
      <c r="B89" t="s">
        <v>205</v>
      </c>
      <c r="C89" s="1" t="s">
        <v>84</v>
      </c>
      <c r="D89">
        <v>2</v>
      </c>
      <c r="E89" t="s">
        <v>206</v>
      </c>
    </row>
    <row r="90" spans="1:5">
      <c r="A90" t="s">
        <v>198</v>
      </c>
      <c r="B90" t="s">
        <v>207</v>
      </c>
      <c r="C90" s="1" t="s">
        <v>84</v>
      </c>
      <c r="D90">
        <v>2</v>
      </c>
      <c r="E90" t="s">
        <v>208</v>
      </c>
    </row>
    <row r="91" spans="1:5">
      <c r="A91" t="s">
        <v>198</v>
      </c>
      <c r="B91" t="s">
        <v>209</v>
      </c>
      <c r="C91" s="1" t="s">
        <v>84</v>
      </c>
      <c r="D91">
        <v>3</v>
      </c>
      <c r="E91" t="s">
        <v>210</v>
      </c>
    </row>
    <row r="92" spans="1:5">
      <c r="A92" t="s">
        <v>198</v>
      </c>
      <c r="B92" t="s">
        <v>211</v>
      </c>
      <c r="C92" s="1" t="s">
        <v>84</v>
      </c>
      <c r="D92">
        <v>3</v>
      </c>
      <c r="E92" t="s">
        <v>212</v>
      </c>
    </row>
    <row r="93" spans="1:5">
      <c r="A93" t="s">
        <v>198</v>
      </c>
      <c r="B93" t="s">
        <v>213</v>
      </c>
      <c r="C93" s="1" t="s">
        <v>84</v>
      </c>
      <c r="D93">
        <v>3</v>
      </c>
      <c r="E93" t="s">
        <v>214</v>
      </c>
    </row>
    <row r="94" spans="1:5">
      <c r="A94" t="s">
        <v>198</v>
      </c>
      <c r="B94" t="s">
        <v>215</v>
      </c>
      <c r="C94" s="1" t="s">
        <v>84</v>
      </c>
      <c r="D94">
        <v>4</v>
      </c>
      <c r="E94" t="s">
        <v>216</v>
      </c>
    </row>
    <row r="95" spans="1:5">
      <c r="A95" t="s">
        <v>198</v>
      </c>
      <c r="B95" t="s">
        <v>217</v>
      </c>
      <c r="C95" s="1" t="s">
        <v>84</v>
      </c>
      <c r="D95">
        <v>4</v>
      </c>
      <c r="E95" t="s">
        <v>218</v>
      </c>
    </row>
    <row r="96" spans="1:5">
      <c r="A96" t="s">
        <v>198</v>
      </c>
      <c r="B96" t="s">
        <v>219</v>
      </c>
      <c r="C96" s="1" t="s">
        <v>84</v>
      </c>
      <c r="D96">
        <v>4</v>
      </c>
      <c r="E96" t="s">
        <v>220</v>
      </c>
    </row>
    <row r="97" spans="1:5">
      <c r="A97" t="s">
        <v>198</v>
      </c>
      <c r="B97" t="s">
        <v>221</v>
      </c>
      <c r="C97" s="1" t="s">
        <v>84</v>
      </c>
      <c r="D97">
        <v>5</v>
      </c>
      <c r="E97" t="s">
        <v>222</v>
      </c>
    </row>
    <row r="98" spans="1:5">
      <c r="A98" t="s">
        <v>198</v>
      </c>
      <c r="B98" t="s">
        <v>223</v>
      </c>
      <c r="C98" s="1" t="s">
        <v>84</v>
      </c>
      <c r="D98">
        <v>5</v>
      </c>
      <c r="E98" t="s">
        <v>224</v>
      </c>
    </row>
    <row r="99" spans="1:5">
      <c r="A99" t="s">
        <v>198</v>
      </c>
      <c r="B99" t="s">
        <v>225</v>
      </c>
      <c r="C99" s="2" t="s">
        <v>98</v>
      </c>
      <c r="D99">
        <v>2</v>
      </c>
      <c r="E99" t="s">
        <v>226</v>
      </c>
    </row>
    <row r="100" spans="1:5">
      <c r="A100" t="s">
        <v>198</v>
      </c>
      <c r="B100" t="s">
        <v>227</v>
      </c>
      <c r="C100" s="2" t="s">
        <v>98</v>
      </c>
      <c r="D100">
        <v>2</v>
      </c>
      <c r="E100" t="s">
        <v>228</v>
      </c>
    </row>
    <row r="101" spans="1:5">
      <c r="A101" t="s">
        <v>198</v>
      </c>
      <c r="B101" t="s">
        <v>229</v>
      </c>
      <c r="C101" s="2" t="s">
        <v>98</v>
      </c>
      <c r="D101">
        <v>3</v>
      </c>
      <c r="E101" t="s">
        <v>230</v>
      </c>
    </row>
    <row r="102" spans="1:5">
      <c r="A102" t="s">
        <v>198</v>
      </c>
      <c r="B102" t="s">
        <v>231</v>
      </c>
      <c r="C102" s="2" t="s">
        <v>98</v>
      </c>
      <c r="D102">
        <v>4</v>
      </c>
      <c r="E102" t="s">
        <v>232</v>
      </c>
    </row>
    <row r="105" spans="1:5">
      <c r="A105" t="s">
        <v>233</v>
      </c>
      <c r="B105" t="s">
        <v>234</v>
      </c>
      <c r="C105" s="1" t="s">
        <v>84</v>
      </c>
      <c r="D105">
        <v>2</v>
      </c>
      <c r="E105" t="s">
        <v>235</v>
      </c>
    </row>
    <row r="106" spans="1:5">
      <c r="A106" t="s">
        <v>233</v>
      </c>
      <c r="B106" t="s">
        <v>236</v>
      </c>
      <c r="C106" s="1" t="s">
        <v>84</v>
      </c>
      <c r="D106">
        <v>2</v>
      </c>
      <c r="E106" t="s">
        <v>237</v>
      </c>
    </row>
    <row r="107" spans="1:5">
      <c r="A107" t="s">
        <v>233</v>
      </c>
      <c r="B107" t="s">
        <v>238</v>
      </c>
      <c r="C107" s="1" t="s">
        <v>84</v>
      </c>
      <c r="D107">
        <v>3</v>
      </c>
      <c r="E107" t="s">
        <v>239</v>
      </c>
    </row>
    <row r="108" spans="1:5">
      <c r="A108" t="s">
        <v>233</v>
      </c>
      <c r="B108" t="s">
        <v>240</v>
      </c>
      <c r="C108" s="1" t="s">
        <v>84</v>
      </c>
      <c r="D108">
        <v>3</v>
      </c>
      <c r="E108" t="s">
        <v>241</v>
      </c>
    </row>
    <row r="109" spans="1:5">
      <c r="A109" t="s">
        <v>233</v>
      </c>
      <c r="B109" t="s">
        <v>242</v>
      </c>
      <c r="C109" s="2" t="s">
        <v>98</v>
      </c>
      <c r="D109">
        <v>2</v>
      </c>
      <c r="E109" t="s">
        <v>243</v>
      </c>
    </row>
    <row r="110" spans="1:5">
      <c r="A110" t="s">
        <v>233</v>
      </c>
      <c r="B110" t="s">
        <v>244</v>
      </c>
      <c r="C110" s="2" t="s">
        <v>98</v>
      </c>
      <c r="D110">
        <v>3</v>
      </c>
      <c r="E110" t="s">
        <v>245</v>
      </c>
    </row>
    <row r="111" spans="1:5">
      <c r="A111" t="s">
        <v>233</v>
      </c>
      <c r="B111" t="s">
        <v>246</v>
      </c>
      <c r="C111" s="2" t="s">
        <v>98</v>
      </c>
      <c r="D111">
        <v>4</v>
      </c>
      <c r="E111" t="s">
        <v>247</v>
      </c>
    </row>
    <row r="112" spans="1:5">
      <c r="A112" t="s">
        <v>233</v>
      </c>
      <c r="B112" t="s">
        <v>248</v>
      </c>
      <c r="C112" s="2" t="s">
        <v>98</v>
      </c>
      <c r="D112">
        <v>6</v>
      </c>
      <c r="E112" t="s">
        <v>249</v>
      </c>
    </row>
    <row r="117" spans="1:5">
      <c r="A117" t="s">
        <v>80</v>
      </c>
      <c r="B117" t="s">
        <v>0</v>
      </c>
      <c r="C117" t="s">
        <v>81</v>
      </c>
      <c r="D117" t="s">
        <v>250</v>
      </c>
      <c r="E117" t="s">
        <v>251</v>
      </c>
    </row>
    <row r="118" spans="1:5">
      <c r="A118" t="s">
        <v>83</v>
      </c>
      <c r="B118" t="s">
        <v>252</v>
      </c>
      <c r="C118" s="2" t="s">
        <v>98</v>
      </c>
      <c r="D118" t="s">
        <v>253</v>
      </c>
      <c r="E118" t="s">
        <v>254</v>
      </c>
    </row>
    <row r="119" spans="1:5">
      <c r="A119" t="s">
        <v>83</v>
      </c>
      <c r="B119" t="s">
        <v>255</v>
      </c>
      <c r="C119" s="2" t="s">
        <v>98</v>
      </c>
      <c r="D119" t="s">
        <v>253</v>
      </c>
      <c r="E119" t="s">
        <v>256</v>
      </c>
    </row>
    <row r="120" spans="1:5">
      <c r="A120" t="s">
        <v>83</v>
      </c>
      <c r="B120" t="s">
        <v>257</v>
      </c>
      <c r="C120" s="1" t="s">
        <v>84</v>
      </c>
      <c r="D120" t="s">
        <v>258</v>
      </c>
      <c r="E120" t="s">
        <v>259</v>
      </c>
    </row>
    <row r="121" spans="1:5">
      <c r="A121" t="s">
        <v>83</v>
      </c>
      <c r="B121" t="s">
        <v>260</v>
      </c>
      <c r="C121" s="1" t="s">
        <v>84</v>
      </c>
      <c r="D121" t="s">
        <v>258</v>
      </c>
      <c r="E121" t="s">
        <v>261</v>
      </c>
    </row>
    <row r="122" spans="1:5">
      <c r="A122" t="s">
        <v>83</v>
      </c>
      <c r="B122" t="s">
        <v>262</v>
      </c>
      <c r="C122" s="2" t="s">
        <v>98</v>
      </c>
      <c r="D122" t="s">
        <v>258</v>
      </c>
      <c r="E122" t="s">
        <v>263</v>
      </c>
    </row>
    <row r="123" spans="1:5">
      <c r="A123" t="s">
        <v>83</v>
      </c>
      <c r="B123" t="s">
        <v>264</v>
      </c>
      <c r="C123" s="2" t="s">
        <v>98</v>
      </c>
      <c r="D123" t="s">
        <v>258</v>
      </c>
      <c r="E123" t="s">
        <v>265</v>
      </c>
    </row>
    <row r="124" spans="1:5">
      <c r="A124" t="s">
        <v>119</v>
      </c>
      <c r="B124" t="s">
        <v>266</v>
      </c>
      <c r="C124" s="2" t="s">
        <v>98</v>
      </c>
      <c r="D124" t="s">
        <v>253</v>
      </c>
      <c r="E124" t="s">
        <v>267</v>
      </c>
    </row>
    <row r="125" spans="1:5">
      <c r="A125" t="s">
        <v>119</v>
      </c>
      <c r="B125" t="s">
        <v>268</v>
      </c>
      <c r="C125" s="2" t="s">
        <v>98</v>
      </c>
      <c r="D125" t="s">
        <v>253</v>
      </c>
      <c r="E125" t="s">
        <v>269</v>
      </c>
    </row>
    <row r="126" spans="1:5">
      <c r="A126" t="s">
        <v>119</v>
      </c>
      <c r="B126" t="s">
        <v>270</v>
      </c>
      <c r="C126" s="2" t="s">
        <v>98</v>
      </c>
      <c r="D126" t="s">
        <v>258</v>
      </c>
      <c r="E126" t="s">
        <v>271</v>
      </c>
    </row>
    <row r="127" spans="1:5">
      <c r="A127" t="s">
        <v>119</v>
      </c>
      <c r="B127" t="s">
        <v>272</v>
      </c>
      <c r="C127" s="2" t="s">
        <v>98</v>
      </c>
      <c r="D127" t="s">
        <v>258</v>
      </c>
      <c r="E127" t="s">
        <v>273</v>
      </c>
    </row>
    <row r="128" spans="1:5">
      <c r="A128" t="s">
        <v>119</v>
      </c>
      <c r="B128" t="s">
        <v>274</v>
      </c>
      <c r="C128" s="2" t="s">
        <v>98</v>
      </c>
      <c r="D128" t="s">
        <v>258</v>
      </c>
      <c r="E128" t="s">
        <v>275</v>
      </c>
    </row>
    <row r="129" spans="1:5">
      <c r="A129" t="s">
        <v>119</v>
      </c>
      <c r="B129" t="s">
        <v>276</v>
      </c>
      <c r="C129" s="5" t="s">
        <v>113</v>
      </c>
      <c r="D129" t="s">
        <v>258</v>
      </c>
      <c r="E129" t="s">
        <v>277</v>
      </c>
    </row>
    <row r="130" spans="1:5">
      <c r="A130" t="s">
        <v>119</v>
      </c>
      <c r="B130" t="s">
        <v>278</v>
      </c>
      <c r="C130" s="5" t="s">
        <v>113</v>
      </c>
      <c r="D130" t="s">
        <v>258</v>
      </c>
      <c r="E130" t="s">
        <v>279</v>
      </c>
    </row>
    <row r="131" spans="1:5">
      <c r="A131" t="s">
        <v>147</v>
      </c>
      <c r="B131" t="s">
        <v>280</v>
      </c>
      <c r="C131" s="1" t="s">
        <v>84</v>
      </c>
      <c r="D131" t="s">
        <v>253</v>
      </c>
      <c r="E131" t="s">
        <v>281</v>
      </c>
    </row>
    <row r="132" spans="1:5">
      <c r="A132" t="s">
        <v>147</v>
      </c>
      <c r="B132" t="s">
        <v>282</v>
      </c>
      <c r="C132" s="2" t="s">
        <v>98</v>
      </c>
      <c r="D132" t="s">
        <v>253</v>
      </c>
      <c r="E132" t="s">
        <v>283</v>
      </c>
    </row>
    <row r="133" spans="1:5">
      <c r="A133" t="s">
        <v>147</v>
      </c>
      <c r="B133" t="s">
        <v>284</v>
      </c>
      <c r="C133" s="5" t="s">
        <v>113</v>
      </c>
      <c r="D133" t="s">
        <v>253</v>
      </c>
      <c r="E133" t="s">
        <v>285</v>
      </c>
    </row>
    <row r="134" spans="1:5">
      <c r="A134" t="s">
        <v>147</v>
      </c>
      <c r="B134" t="s">
        <v>286</v>
      </c>
      <c r="C134" s="2" t="s">
        <v>98</v>
      </c>
      <c r="D134" t="s">
        <v>258</v>
      </c>
      <c r="E134" t="s">
        <v>287</v>
      </c>
    </row>
    <row r="135" spans="1:5">
      <c r="A135" t="s">
        <v>147</v>
      </c>
      <c r="B135" t="s">
        <v>288</v>
      </c>
      <c r="C135" s="2" t="s">
        <v>98</v>
      </c>
      <c r="D135" t="s">
        <v>258</v>
      </c>
      <c r="E135" t="s">
        <v>289</v>
      </c>
    </row>
    <row r="136" spans="1:5">
      <c r="A136" t="s">
        <v>163</v>
      </c>
      <c r="B136" t="s">
        <v>290</v>
      </c>
      <c r="C136" s="1" t="s">
        <v>84</v>
      </c>
      <c r="D136" t="s">
        <v>253</v>
      </c>
      <c r="E136" t="s">
        <v>291</v>
      </c>
    </row>
    <row r="137" spans="1:5">
      <c r="A137" t="s">
        <v>163</v>
      </c>
      <c r="B137" t="s">
        <v>292</v>
      </c>
      <c r="C137" s="1" t="s">
        <v>84</v>
      </c>
      <c r="D137" t="s">
        <v>253</v>
      </c>
      <c r="E137" t="s">
        <v>293</v>
      </c>
    </row>
    <row r="138" spans="1:5">
      <c r="A138" t="s">
        <v>163</v>
      </c>
      <c r="B138" t="s">
        <v>294</v>
      </c>
      <c r="C138" s="2" t="s">
        <v>98</v>
      </c>
      <c r="D138" t="s">
        <v>253</v>
      </c>
      <c r="E138" t="s">
        <v>295</v>
      </c>
    </row>
    <row r="139" spans="1:5">
      <c r="A139" t="s">
        <v>163</v>
      </c>
      <c r="B139" t="s">
        <v>296</v>
      </c>
      <c r="C139" s="5" t="s">
        <v>113</v>
      </c>
      <c r="D139" t="s">
        <v>253</v>
      </c>
      <c r="E139" t="s">
        <v>297</v>
      </c>
    </row>
    <row r="140" spans="1:5">
      <c r="A140" t="s">
        <v>163</v>
      </c>
      <c r="B140" t="s">
        <v>298</v>
      </c>
      <c r="C140" s="2" t="s">
        <v>98</v>
      </c>
      <c r="D140" t="s">
        <v>258</v>
      </c>
      <c r="E140" t="s">
        <v>299</v>
      </c>
    </row>
    <row r="141" spans="1:5">
      <c r="A141" t="s">
        <v>163</v>
      </c>
      <c r="B141" t="s">
        <v>300</v>
      </c>
      <c r="C141" s="2" t="s">
        <v>98</v>
      </c>
      <c r="D141" t="s">
        <v>258</v>
      </c>
      <c r="E141" t="s">
        <v>301</v>
      </c>
    </row>
    <row r="142" spans="1:5">
      <c r="A142" t="s">
        <v>163</v>
      </c>
      <c r="B142" t="s">
        <v>302</v>
      </c>
      <c r="C142" s="5" t="s">
        <v>113</v>
      </c>
      <c r="D142" t="s">
        <v>258</v>
      </c>
      <c r="E142" t="s">
        <v>303</v>
      </c>
    </row>
    <row r="143" spans="1:5">
      <c r="A143" t="s">
        <v>185</v>
      </c>
      <c r="B143" t="s">
        <v>304</v>
      </c>
      <c r="C143" s="2" t="s">
        <v>98</v>
      </c>
      <c r="D143" t="s">
        <v>253</v>
      </c>
      <c r="E143" t="s">
        <v>305</v>
      </c>
    </row>
    <row r="144" spans="1:5">
      <c r="A144" t="s">
        <v>185</v>
      </c>
      <c r="B144" t="s">
        <v>306</v>
      </c>
      <c r="C144" s="2" t="s">
        <v>98</v>
      </c>
      <c r="D144" t="s">
        <v>253</v>
      </c>
      <c r="E144" t="s">
        <v>307</v>
      </c>
    </row>
    <row r="145" spans="1:5">
      <c r="A145" t="s">
        <v>185</v>
      </c>
      <c r="B145" t="s">
        <v>308</v>
      </c>
      <c r="C145" s="2" t="s">
        <v>98</v>
      </c>
      <c r="D145" t="s">
        <v>258</v>
      </c>
      <c r="E145" t="s">
        <v>309</v>
      </c>
    </row>
    <row r="146" spans="1:5">
      <c r="A146" t="s">
        <v>198</v>
      </c>
      <c r="B146" t="s">
        <v>310</v>
      </c>
      <c r="C146" s="1" t="s">
        <v>84</v>
      </c>
      <c r="D146" t="s">
        <v>253</v>
      </c>
      <c r="E146" t="s">
        <v>311</v>
      </c>
    </row>
    <row r="147" spans="1:5">
      <c r="A147" t="s">
        <v>198</v>
      </c>
      <c r="B147" t="s">
        <v>312</v>
      </c>
      <c r="C147" s="1" t="s">
        <v>84</v>
      </c>
      <c r="D147" t="s">
        <v>253</v>
      </c>
      <c r="E147" t="s">
        <v>313</v>
      </c>
    </row>
    <row r="148" spans="1:5">
      <c r="A148" t="s">
        <v>198</v>
      </c>
      <c r="B148" t="s">
        <v>314</v>
      </c>
      <c r="C148" s="2" t="s">
        <v>98</v>
      </c>
      <c r="D148" t="s">
        <v>253</v>
      </c>
      <c r="E148" t="s">
        <v>315</v>
      </c>
    </row>
    <row r="149" spans="1:5">
      <c r="A149" t="s">
        <v>198</v>
      </c>
      <c r="B149" t="s">
        <v>316</v>
      </c>
      <c r="C149" s="5" t="s">
        <v>113</v>
      </c>
      <c r="D149" t="s">
        <v>253</v>
      </c>
      <c r="E149" t="s">
        <v>317</v>
      </c>
    </row>
    <row r="150" spans="1:5">
      <c r="A150" t="s">
        <v>198</v>
      </c>
      <c r="B150" t="s">
        <v>318</v>
      </c>
      <c r="C150" s="1" t="s">
        <v>84</v>
      </c>
      <c r="D150" t="s">
        <v>258</v>
      </c>
      <c r="E150" t="s">
        <v>319</v>
      </c>
    </row>
    <row r="151" spans="1:5">
      <c r="A151" t="s">
        <v>198</v>
      </c>
      <c r="B151" t="s">
        <v>320</v>
      </c>
      <c r="C151" s="1" t="s">
        <v>84</v>
      </c>
      <c r="D151" t="s">
        <v>258</v>
      </c>
      <c r="E151" t="s">
        <v>321</v>
      </c>
    </row>
    <row r="152" spans="1:5">
      <c r="A152" t="s">
        <v>198</v>
      </c>
      <c r="B152" t="s">
        <v>322</v>
      </c>
      <c r="C152" s="1" t="s">
        <v>84</v>
      </c>
      <c r="D152" t="s">
        <v>258</v>
      </c>
      <c r="E152" t="s">
        <v>323</v>
      </c>
    </row>
    <row r="153" spans="1:5">
      <c r="A153" t="s">
        <v>198</v>
      </c>
      <c r="B153" t="s">
        <v>324</v>
      </c>
      <c r="C153" s="2" t="s">
        <v>98</v>
      </c>
      <c r="D153" t="s">
        <v>258</v>
      </c>
      <c r="E153" t="s">
        <v>325</v>
      </c>
    </row>
    <row r="154" spans="1:5">
      <c r="A154" t="s">
        <v>233</v>
      </c>
      <c r="B154" t="s">
        <v>326</v>
      </c>
      <c r="C154" s="1" t="s">
        <v>84</v>
      </c>
      <c r="D154" t="s">
        <v>258</v>
      </c>
      <c r="E154" t="s">
        <v>327</v>
      </c>
    </row>
    <row r="155" spans="1:5">
      <c r="A155" t="s">
        <v>233</v>
      </c>
      <c r="B155" t="s">
        <v>328</v>
      </c>
      <c r="C155" s="2" t="s">
        <v>98</v>
      </c>
      <c r="D155" t="s">
        <v>258</v>
      </c>
      <c r="E155" t="s">
        <v>329</v>
      </c>
    </row>
    <row r="156" spans="1:5">
      <c r="A156" t="s">
        <v>233</v>
      </c>
      <c r="B156" t="s">
        <v>330</v>
      </c>
      <c r="C156" s="2" t="s">
        <v>98</v>
      </c>
      <c r="D156" t="s">
        <v>258</v>
      </c>
      <c r="E156" t="s">
        <v>331</v>
      </c>
    </row>
    <row r="157" spans="1:5">
      <c r="A157" t="s">
        <v>233</v>
      </c>
      <c r="B157" t="s">
        <v>332</v>
      </c>
      <c r="C157" s="2" t="s">
        <v>98</v>
      </c>
      <c r="D157" t="s">
        <v>258</v>
      </c>
      <c r="E157" t="s">
        <v>333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opLeftCell="C1" workbookViewId="0">
      <selection activeCell="E38" sqref="E38"/>
    </sheetView>
  </sheetViews>
  <sheetFormatPr defaultColWidth="9" defaultRowHeight="13.5" outlineLevelCol="4"/>
  <cols>
    <col min="1" max="1" width="10.625" customWidth="1"/>
    <col min="2" max="2" width="18.5" customWidth="1"/>
    <col min="3" max="3" width="12.125" customWidth="1"/>
    <col min="4" max="4" width="11.125" customWidth="1"/>
    <col min="5" max="5" width="186.375" customWidth="1"/>
  </cols>
  <sheetData>
    <row r="1" spans="1:5">
      <c r="A1" t="s">
        <v>80</v>
      </c>
      <c r="B1" t="s">
        <v>0</v>
      </c>
      <c r="C1" t="s">
        <v>81</v>
      </c>
      <c r="D1" t="s">
        <v>1</v>
      </c>
      <c r="E1" t="s">
        <v>82</v>
      </c>
    </row>
    <row r="2" spans="1:5">
      <c r="A2" t="s">
        <v>83</v>
      </c>
      <c r="B2" t="s">
        <v>334</v>
      </c>
      <c r="C2" s="4" t="s">
        <v>335</v>
      </c>
      <c r="D2">
        <v>3</v>
      </c>
      <c r="E2" t="s">
        <v>336</v>
      </c>
    </row>
    <row r="3" spans="1:5">
      <c r="A3" t="s">
        <v>83</v>
      </c>
      <c r="B3" t="s">
        <v>337</v>
      </c>
      <c r="C3" s="1" t="s">
        <v>84</v>
      </c>
      <c r="D3">
        <v>1</v>
      </c>
      <c r="E3" t="s">
        <v>338</v>
      </c>
    </row>
    <row r="4" spans="1:5">
      <c r="A4" t="s">
        <v>83</v>
      </c>
      <c r="B4" t="s">
        <v>339</v>
      </c>
      <c r="C4" s="1" t="s">
        <v>84</v>
      </c>
      <c r="D4">
        <v>2</v>
      </c>
      <c r="E4" t="s">
        <v>340</v>
      </c>
    </row>
    <row r="5" spans="1:5">
      <c r="A5" t="s">
        <v>83</v>
      </c>
      <c r="B5" t="s">
        <v>341</v>
      </c>
      <c r="C5" s="1" t="s">
        <v>84</v>
      </c>
      <c r="D5">
        <v>3</v>
      </c>
      <c r="E5" t="s">
        <v>342</v>
      </c>
    </row>
    <row r="6" spans="1:5">
      <c r="A6" t="s">
        <v>83</v>
      </c>
      <c r="B6" t="s">
        <v>343</v>
      </c>
      <c r="C6" s="1" t="s">
        <v>84</v>
      </c>
      <c r="D6">
        <v>3</v>
      </c>
      <c r="E6" t="s">
        <v>344</v>
      </c>
    </row>
    <row r="7" spans="1:5">
      <c r="A7" t="s">
        <v>83</v>
      </c>
      <c r="B7" t="s">
        <v>345</v>
      </c>
      <c r="C7" s="1" t="s">
        <v>84</v>
      </c>
      <c r="D7">
        <v>4</v>
      </c>
      <c r="E7" t="s">
        <v>346</v>
      </c>
    </row>
    <row r="8" spans="1:5">
      <c r="A8" t="s">
        <v>83</v>
      </c>
      <c r="B8" t="s">
        <v>11</v>
      </c>
      <c r="C8" s="2" t="s">
        <v>98</v>
      </c>
      <c r="D8">
        <v>1</v>
      </c>
      <c r="E8" t="s">
        <v>347</v>
      </c>
    </row>
    <row r="9" spans="1:5">
      <c r="A9" t="s">
        <v>83</v>
      </c>
      <c r="B9" t="s">
        <v>348</v>
      </c>
      <c r="C9" s="2" t="s">
        <v>98</v>
      </c>
      <c r="D9">
        <v>1</v>
      </c>
      <c r="E9" t="s">
        <v>349</v>
      </c>
    </row>
    <row r="10" spans="1:5">
      <c r="A10" t="s">
        <v>83</v>
      </c>
      <c r="B10" t="s">
        <v>350</v>
      </c>
      <c r="C10" s="2" t="s">
        <v>98</v>
      </c>
      <c r="D10">
        <v>2</v>
      </c>
      <c r="E10" t="s">
        <v>351</v>
      </c>
    </row>
    <row r="11" spans="1:5">
      <c r="A11" t="s">
        <v>83</v>
      </c>
      <c r="B11" t="s">
        <v>352</v>
      </c>
      <c r="C11" s="2" t="s">
        <v>98</v>
      </c>
      <c r="D11">
        <v>2</v>
      </c>
      <c r="E11" t="s">
        <v>353</v>
      </c>
    </row>
    <row r="12" spans="1:5">
      <c r="A12" t="s">
        <v>83</v>
      </c>
      <c r="B12" t="s">
        <v>354</v>
      </c>
      <c r="C12" s="2" t="s">
        <v>98</v>
      </c>
      <c r="D12">
        <v>3</v>
      </c>
      <c r="E12" t="s">
        <v>355</v>
      </c>
    </row>
    <row r="13" spans="1:5">
      <c r="A13" t="s">
        <v>83</v>
      </c>
      <c r="B13" t="s">
        <v>100</v>
      </c>
      <c r="C13" s="2" t="s">
        <v>98</v>
      </c>
      <c r="D13">
        <v>3</v>
      </c>
      <c r="E13" t="s">
        <v>101</v>
      </c>
    </row>
    <row r="14" spans="1:5">
      <c r="A14" t="s">
        <v>83</v>
      </c>
      <c r="B14" t="s">
        <v>102</v>
      </c>
      <c r="C14" s="2" t="s">
        <v>98</v>
      </c>
      <c r="D14">
        <v>3</v>
      </c>
      <c r="E14" t="s">
        <v>103</v>
      </c>
    </row>
    <row r="15" spans="1:5">
      <c r="A15" t="s">
        <v>83</v>
      </c>
      <c r="B15" t="s">
        <v>356</v>
      </c>
      <c r="C15" s="2" t="s">
        <v>98</v>
      </c>
      <c r="D15">
        <v>4</v>
      </c>
      <c r="E15" t="s">
        <v>357</v>
      </c>
    </row>
    <row r="16" spans="1:5">
      <c r="A16" t="s">
        <v>83</v>
      </c>
      <c r="B16" t="s">
        <v>13</v>
      </c>
      <c r="C16" s="2" t="s">
        <v>98</v>
      </c>
      <c r="D16">
        <v>4</v>
      </c>
      <c r="E16" t="s">
        <v>107</v>
      </c>
    </row>
    <row r="17" spans="1:5">
      <c r="A17" t="s">
        <v>83</v>
      </c>
      <c r="B17" t="s">
        <v>358</v>
      </c>
      <c r="C17" s="2" t="s">
        <v>98</v>
      </c>
      <c r="D17">
        <v>4</v>
      </c>
      <c r="E17" t="s">
        <v>359</v>
      </c>
    </row>
    <row r="18" spans="1:5">
      <c r="A18" t="s">
        <v>83</v>
      </c>
      <c r="B18" t="s">
        <v>360</v>
      </c>
      <c r="C18" s="2" t="s">
        <v>98</v>
      </c>
      <c r="D18">
        <v>5</v>
      </c>
      <c r="E18" t="s">
        <v>361</v>
      </c>
    </row>
    <row r="19" spans="1:5">
      <c r="A19" t="s">
        <v>83</v>
      </c>
      <c r="B19" t="s">
        <v>362</v>
      </c>
      <c r="C19" s="2" t="s">
        <v>98</v>
      </c>
      <c r="D19">
        <v>6</v>
      </c>
      <c r="E19" t="s">
        <v>363</v>
      </c>
    </row>
    <row r="20" spans="1:5">
      <c r="A20" t="s">
        <v>83</v>
      </c>
      <c r="B20" t="s">
        <v>111</v>
      </c>
      <c r="C20" s="2" t="s">
        <v>98</v>
      </c>
      <c r="D20">
        <v>6</v>
      </c>
      <c r="E20" t="s">
        <v>112</v>
      </c>
    </row>
    <row r="21" spans="1:5">
      <c r="A21" t="s">
        <v>83</v>
      </c>
      <c r="B21" t="s">
        <v>364</v>
      </c>
      <c r="C21" s="2" t="s">
        <v>98</v>
      </c>
      <c r="D21">
        <v>7</v>
      </c>
      <c r="E21" t="s">
        <v>365</v>
      </c>
    </row>
    <row r="22" spans="1:5">
      <c r="A22" t="s">
        <v>83</v>
      </c>
      <c r="B22" t="s">
        <v>366</v>
      </c>
      <c r="C22" s="2" t="s">
        <v>98</v>
      </c>
      <c r="D22">
        <v>7</v>
      </c>
      <c r="E22" t="s">
        <v>367</v>
      </c>
    </row>
    <row r="23" spans="1:5">
      <c r="A23" t="s">
        <v>83</v>
      </c>
      <c r="B23" t="s">
        <v>368</v>
      </c>
      <c r="C23" s="2" t="s">
        <v>98</v>
      </c>
      <c r="D23">
        <v>8</v>
      </c>
      <c r="E23" t="s">
        <v>369</v>
      </c>
    </row>
    <row r="24" spans="1:5">
      <c r="A24" t="s">
        <v>83</v>
      </c>
      <c r="B24" t="s">
        <v>370</v>
      </c>
      <c r="C24" s="5" t="s">
        <v>113</v>
      </c>
      <c r="D24">
        <v>4</v>
      </c>
      <c r="E24" t="s">
        <v>116</v>
      </c>
    </row>
    <row r="25" spans="1:5">
      <c r="A25" t="s">
        <v>83</v>
      </c>
      <c r="B25" t="s">
        <v>64</v>
      </c>
      <c r="C25" s="5" t="s">
        <v>113</v>
      </c>
      <c r="D25">
        <v>4</v>
      </c>
      <c r="E25" t="s">
        <v>371</v>
      </c>
    </row>
    <row r="26" spans="1:5">
      <c r="A26" t="s">
        <v>83</v>
      </c>
      <c r="B26" t="s">
        <v>372</v>
      </c>
      <c r="C26" s="5" t="s">
        <v>113</v>
      </c>
      <c r="D26">
        <v>5</v>
      </c>
      <c r="E26" t="s">
        <v>373</v>
      </c>
    </row>
    <row r="27" spans="1:5">
      <c r="A27" t="s">
        <v>83</v>
      </c>
      <c r="B27" t="s">
        <v>68</v>
      </c>
      <c r="C27" s="5" t="s">
        <v>113</v>
      </c>
      <c r="D27">
        <v>8</v>
      </c>
      <c r="E27" t="s">
        <v>374</v>
      </c>
    </row>
    <row r="28" spans="1:5">
      <c r="A28" t="s">
        <v>83</v>
      </c>
      <c r="B28" t="s">
        <v>375</v>
      </c>
      <c r="C28" s="5" t="s">
        <v>113</v>
      </c>
      <c r="D28">
        <v>9</v>
      </c>
      <c r="E28" t="s">
        <v>376</v>
      </c>
    </row>
    <row r="31" spans="1:5">
      <c r="A31" t="s">
        <v>119</v>
      </c>
      <c r="B31" t="s">
        <v>125</v>
      </c>
      <c r="C31" s="1" t="s">
        <v>84</v>
      </c>
      <c r="D31">
        <v>4</v>
      </c>
      <c r="E31" t="s">
        <v>126</v>
      </c>
    </row>
    <row r="32" spans="1:5">
      <c r="A32" t="s">
        <v>119</v>
      </c>
      <c r="B32" t="s">
        <v>377</v>
      </c>
      <c r="C32" s="1" t="s">
        <v>84</v>
      </c>
      <c r="D32">
        <v>5</v>
      </c>
      <c r="E32" t="s">
        <v>378</v>
      </c>
    </row>
    <row r="33" spans="1:5">
      <c r="A33" t="s">
        <v>119</v>
      </c>
      <c r="B33" t="s">
        <v>379</v>
      </c>
      <c r="C33" s="1" t="s">
        <v>84</v>
      </c>
      <c r="D33">
        <v>5</v>
      </c>
      <c r="E33" t="s">
        <v>380</v>
      </c>
    </row>
    <row r="34" spans="1:5">
      <c r="A34" t="s">
        <v>119</v>
      </c>
      <c r="B34" t="s">
        <v>381</v>
      </c>
      <c r="C34" s="2" t="s">
        <v>98</v>
      </c>
      <c r="D34">
        <v>3</v>
      </c>
      <c r="E34" t="s">
        <v>382</v>
      </c>
    </row>
    <row r="35" spans="1:5">
      <c r="A35" t="s">
        <v>119</v>
      </c>
      <c r="B35" t="s">
        <v>141</v>
      </c>
      <c r="C35" s="2" t="s">
        <v>98</v>
      </c>
      <c r="D35">
        <v>4</v>
      </c>
      <c r="E35" t="s">
        <v>142</v>
      </c>
    </row>
    <row r="36" spans="1:5">
      <c r="A36" t="s">
        <v>119</v>
      </c>
      <c r="B36" t="s">
        <v>383</v>
      </c>
      <c r="C36" s="2" t="s">
        <v>98</v>
      </c>
      <c r="D36">
        <v>7</v>
      </c>
      <c r="E36" t="s">
        <v>384</v>
      </c>
    </row>
    <row r="37" spans="1:5">
      <c r="A37" t="s">
        <v>119</v>
      </c>
      <c r="B37" t="s">
        <v>32</v>
      </c>
      <c r="C37" s="2" t="s">
        <v>98</v>
      </c>
      <c r="D37">
        <v>7</v>
      </c>
      <c r="E37" t="s">
        <v>144</v>
      </c>
    </row>
    <row r="38" spans="1:5">
      <c r="A38" t="s">
        <v>119</v>
      </c>
      <c r="B38" t="s">
        <v>385</v>
      </c>
      <c r="C38" s="2" t="s">
        <v>98</v>
      </c>
      <c r="D38">
        <v>8</v>
      </c>
      <c r="E38" t="s">
        <v>386</v>
      </c>
    </row>
    <row r="39" spans="1:5">
      <c r="A39" t="s">
        <v>119</v>
      </c>
      <c r="B39" t="s">
        <v>387</v>
      </c>
      <c r="C39" s="5" t="s">
        <v>113</v>
      </c>
      <c r="D39">
        <v>2</v>
      </c>
      <c r="E39" t="s">
        <v>388</v>
      </c>
    </row>
    <row r="40" spans="1:5">
      <c r="A40" t="s">
        <v>119</v>
      </c>
      <c r="B40" t="s">
        <v>389</v>
      </c>
      <c r="C40" s="5" t="s">
        <v>113</v>
      </c>
      <c r="D40">
        <v>3</v>
      </c>
      <c r="E40" t="s">
        <v>390</v>
      </c>
    </row>
    <row r="43" spans="1:5">
      <c r="A43" t="s">
        <v>147</v>
      </c>
      <c r="B43" t="s">
        <v>391</v>
      </c>
      <c r="C43" s="1" t="s">
        <v>84</v>
      </c>
      <c r="D43">
        <v>3</v>
      </c>
      <c r="E43" t="s">
        <v>392</v>
      </c>
    </row>
    <row r="44" spans="1:5">
      <c r="A44" t="s">
        <v>147</v>
      </c>
      <c r="B44" t="s">
        <v>393</v>
      </c>
      <c r="C44" s="1" t="s">
        <v>84</v>
      </c>
      <c r="D44">
        <v>4</v>
      </c>
      <c r="E44" t="s">
        <v>394</v>
      </c>
    </row>
    <row r="45" spans="1:5">
      <c r="A45" t="s">
        <v>147</v>
      </c>
      <c r="B45" t="s">
        <v>395</v>
      </c>
      <c r="C45" s="2" t="s">
        <v>98</v>
      </c>
      <c r="D45">
        <v>2</v>
      </c>
      <c r="E45" t="s">
        <v>396</v>
      </c>
    </row>
    <row r="46" spans="1:5">
      <c r="A46" t="s">
        <v>147</v>
      </c>
      <c r="B46" t="s">
        <v>397</v>
      </c>
      <c r="C46" s="2" t="s">
        <v>98</v>
      </c>
      <c r="D46">
        <v>4</v>
      </c>
      <c r="E46" t="s">
        <v>398</v>
      </c>
    </row>
    <row r="47" spans="1:5">
      <c r="A47" t="s">
        <v>147</v>
      </c>
      <c r="B47" t="s">
        <v>399</v>
      </c>
      <c r="C47" s="2" t="s">
        <v>98</v>
      </c>
      <c r="D47">
        <v>4</v>
      </c>
      <c r="E47" t="s">
        <v>400</v>
      </c>
    </row>
    <row r="48" spans="1:5">
      <c r="A48" t="s">
        <v>147</v>
      </c>
      <c r="B48" t="s">
        <v>401</v>
      </c>
      <c r="C48" s="2" t="s">
        <v>98</v>
      </c>
      <c r="D48">
        <v>6</v>
      </c>
      <c r="E48" t="s">
        <v>402</v>
      </c>
    </row>
    <row r="49" spans="1:5">
      <c r="A49" t="s">
        <v>147</v>
      </c>
      <c r="B49" t="s">
        <v>78</v>
      </c>
      <c r="C49" s="5" t="s">
        <v>113</v>
      </c>
      <c r="D49">
        <v>4</v>
      </c>
      <c r="E49" t="s">
        <v>403</v>
      </c>
    </row>
    <row r="50" spans="1:5">
      <c r="A50" t="s">
        <v>147</v>
      </c>
      <c r="B50" t="s">
        <v>404</v>
      </c>
      <c r="C50" s="5" t="s">
        <v>113</v>
      </c>
      <c r="D50">
        <v>6</v>
      </c>
      <c r="E50" t="s">
        <v>405</v>
      </c>
    </row>
    <row r="53" spans="1:5">
      <c r="A53" t="s">
        <v>406</v>
      </c>
      <c r="B53" t="s">
        <v>407</v>
      </c>
      <c r="C53" s="1" t="s">
        <v>84</v>
      </c>
      <c r="D53">
        <v>3</v>
      </c>
      <c r="E53" t="s">
        <v>408</v>
      </c>
    </row>
    <row r="54" spans="1:5">
      <c r="A54" t="s">
        <v>406</v>
      </c>
      <c r="B54" t="s">
        <v>409</v>
      </c>
      <c r="C54" s="5" t="s">
        <v>113</v>
      </c>
      <c r="D54">
        <v>4</v>
      </c>
      <c r="E54" t="s">
        <v>410</v>
      </c>
    </row>
    <row r="57" spans="1:5">
      <c r="A57" t="s">
        <v>185</v>
      </c>
      <c r="B57" t="s">
        <v>411</v>
      </c>
      <c r="C57" s="1" t="s">
        <v>84</v>
      </c>
      <c r="D57">
        <v>2</v>
      </c>
      <c r="E57" t="s">
        <v>412</v>
      </c>
    </row>
    <row r="58" spans="1:5">
      <c r="A58" t="s">
        <v>185</v>
      </c>
      <c r="B58" t="s">
        <v>413</v>
      </c>
      <c r="C58" s="1" t="s">
        <v>84</v>
      </c>
      <c r="D58">
        <v>4</v>
      </c>
      <c r="E58" t="s">
        <v>414</v>
      </c>
    </row>
    <row r="59" spans="1:5">
      <c r="A59" t="s">
        <v>185</v>
      </c>
      <c r="B59" t="s">
        <v>415</v>
      </c>
      <c r="C59" s="2" t="s">
        <v>98</v>
      </c>
      <c r="D59">
        <v>2</v>
      </c>
      <c r="E59" t="s">
        <v>416</v>
      </c>
    </row>
    <row r="60" spans="1:5">
      <c r="A60" t="s">
        <v>185</v>
      </c>
      <c r="B60" t="s">
        <v>194</v>
      </c>
      <c r="C60" s="2" t="s">
        <v>98</v>
      </c>
      <c r="D60">
        <v>3</v>
      </c>
      <c r="E60" t="s">
        <v>195</v>
      </c>
    </row>
    <row r="61" customFormat="1" spans="1:5">
      <c r="A61" t="s">
        <v>185</v>
      </c>
      <c r="B61" t="s">
        <v>417</v>
      </c>
      <c r="C61" s="2" t="s">
        <v>98</v>
      </c>
      <c r="D61">
        <v>3</v>
      </c>
      <c r="E61" t="s">
        <v>418</v>
      </c>
    </row>
    <row r="62" customFormat="1" spans="1:5">
      <c r="A62" t="s">
        <v>185</v>
      </c>
      <c r="B62" t="s">
        <v>419</v>
      </c>
      <c r="C62" s="2" t="s">
        <v>98</v>
      </c>
      <c r="D62">
        <v>5</v>
      </c>
      <c r="E62" t="s">
        <v>420</v>
      </c>
    </row>
    <row r="63" customFormat="1" spans="1:5">
      <c r="A63" t="s">
        <v>185</v>
      </c>
      <c r="B63" t="s">
        <v>421</v>
      </c>
      <c r="C63" s="5" t="s">
        <v>113</v>
      </c>
      <c r="D63">
        <v>3</v>
      </c>
      <c r="E63" t="s">
        <v>422</v>
      </c>
    </row>
    <row r="64" customFormat="1" spans="1:5">
      <c r="A64" t="s">
        <v>185</v>
      </c>
      <c r="B64" t="s">
        <v>423</v>
      </c>
      <c r="C64" s="5" t="s">
        <v>113</v>
      </c>
      <c r="D64">
        <v>4</v>
      </c>
      <c r="E64" t="s">
        <v>424</v>
      </c>
    </row>
    <row r="65" customFormat="1" spans="1:5">
      <c r="A65" t="s">
        <v>185</v>
      </c>
      <c r="B65" t="s">
        <v>425</v>
      </c>
      <c r="C65" s="5" t="s">
        <v>113</v>
      </c>
      <c r="D65">
        <v>5</v>
      </c>
      <c r="E65" t="s">
        <v>426</v>
      </c>
    </row>
    <row r="68" spans="1:5">
      <c r="A68" t="s">
        <v>198</v>
      </c>
      <c r="B68" t="s">
        <v>427</v>
      </c>
      <c r="C68" s="1" t="s">
        <v>84</v>
      </c>
      <c r="D68">
        <v>2</v>
      </c>
      <c r="E68" t="s">
        <v>428</v>
      </c>
    </row>
    <row r="69" spans="1:5">
      <c r="A69" t="s">
        <v>198</v>
      </c>
      <c r="B69" t="s">
        <v>429</v>
      </c>
      <c r="C69" s="5" t="s">
        <v>113</v>
      </c>
      <c r="D69">
        <v>9</v>
      </c>
      <c r="E69" t="s">
        <v>430</v>
      </c>
    </row>
    <row r="72" spans="1:5">
      <c r="A72" t="s">
        <v>233</v>
      </c>
      <c r="B72" t="s">
        <v>431</v>
      </c>
      <c r="C72" s="1" t="s">
        <v>84</v>
      </c>
      <c r="D72">
        <v>3</v>
      </c>
      <c r="E72" t="s">
        <v>432</v>
      </c>
    </row>
    <row r="73" spans="1:5">
      <c r="A73" t="s">
        <v>233</v>
      </c>
      <c r="B73" t="s">
        <v>433</v>
      </c>
      <c r="C73" s="2" t="s">
        <v>98</v>
      </c>
      <c r="D73">
        <v>4</v>
      </c>
      <c r="E73" t="s">
        <v>434</v>
      </c>
    </row>
    <row r="74" spans="1:5">
      <c r="A74" t="s">
        <v>233</v>
      </c>
      <c r="B74" t="s">
        <v>435</v>
      </c>
      <c r="C74" s="2" t="s">
        <v>98</v>
      </c>
      <c r="D74">
        <v>4</v>
      </c>
      <c r="E74" t="s">
        <v>436</v>
      </c>
    </row>
    <row r="75" spans="1:5">
      <c r="A75" t="s">
        <v>233</v>
      </c>
      <c r="B75" t="s">
        <v>437</v>
      </c>
      <c r="C75" s="2" t="s">
        <v>98</v>
      </c>
      <c r="D75">
        <v>5</v>
      </c>
      <c r="E75" t="s">
        <v>438</v>
      </c>
    </row>
    <row r="76" spans="1:5">
      <c r="A76" t="s">
        <v>233</v>
      </c>
      <c r="B76" t="s">
        <v>439</v>
      </c>
      <c r="C76" s="2" t="s">
        <v>98</v>
      </c>
      <c r="D76">
        <v>5</v>
      </c>
      <c r="E76" t="s">
        <v>440</v>
      </c>
    </row>
    <row r="77" spans="1:5">
      <c r="A77" t="s">
        <v>233</v>
      </c>
      <c r="B77" t="s">
        <v>441</v>
      </c>
      <c r="C77" s="5" t="s">
        <v>113</v>
      </c>
      <c r="D77">
        <v>5</v>
      </c>
      <c r="E77" t="s">
        <v>442</v>
      </c>
    </row>
    <row r="78" spans="1:5">
      <c r="A78" t="s">
        <v>233</v>
      </c>
      <c r="B78" t="s">
        <v>443</v>
      </c>
      <c r="C78" s="5" t="s">
        <v>113</v>
      </c>
      <c r="D78">
        <v>6</v>
      </c>
      <c r="E78" t="s">
        <v>444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opLeftCell="A16" workbookViewId="0">
      <selection activeCell="H11" sqref="H11:H12"/>
    </sheetView>
  </sheetViews>
  <sheetFormatPr defaultColWidth="9" defaultRowHeight="13.5" outlineLevelCol="6"/>
  <cols>
    <col min="1" max="1" width="17.375" customWidth="1"/>
    <col min="2" max="2" width="11.125" customWidth="1"/>
    <col min="3" max="3" width="13.25" customWidth="1"/>
    <col min="4" max="4" width="13.75" customWidth="1"/>
    <col min="5" max="5" width="19.25" customWidth="1"/>
    <col min="6" max="6" width="9.5" customWidth="1"/>
    <col min="7" max="7" width="16.5" customWidth="1"/>
    <col min="10" max="10" width="10.625" customWidth="1"/>
    <col min="11" max="11" width="11.5" customWidth="1"/>
    <col min="12" max="12" width="11.625" customWidth="1"/>
  </cols>
  <sheetData>
    <row r="1" spans="1:7">
      <c r="A1" t="s">
        <v>445</v>
      </c>
      <c r="B1" t="s">
        <v>80</v>
      </c>
      <c r="C1" t="s">
        <v>446</v>
      </c>
      <c r="D1" t="s">
        <v>447</v>
      </c>
      <c r="E1" t="s">
        <v>448</v>
      </c>
      <c r="F1" t="s">
        <v>449</v>
      </c>
      <c r="G1" t="s">
        <v>450</v>
      </c>
    </row>
    <row r="2" spans="1:6">
      <c r="A2" s="1" t="s">
        <v>451</v>
      </c>
      <c r="B2" s="1" t="s">
        <v>83</v>
      </c>
      <c r="C2" s="1">
        <v>18</v>
      </c>
      <c r="D2" s="1">
        <v>2688</v>
      </c>
      <c r="E2" s="1">
        <f>2688-D2</f>
        <v>0</v>
      </c>
      <c r="F2" t="s">
        <v>452</v>
      </c>
    </row>
    <row r="3" spans="1:7">
      <c r="A3" s="1" t="s">
        <v>453</v>
      </c>
      <c r="B3" s="1" t="s">
        <v>83</v>
      </c>
      <c r="C3" s="1">
        <v>2</v>
      </c>
      <c r="D3" s="1">
        <v>4</v>
      </c>
      <c r="E3" s="1">
        <f>2688-D3</f>
        <v>2684</v>
      </c>
      <c r="F3" t="s">
        <v>454</v>
      </c>
      <c r="G3" t="s">
        <v>455</v>
      </c>
    </row>
    <row r="4" spans="1:5">
      <c r="A4" s="1" t="s">
        <v>4</v>
      </c>
      <c r="B4" s="1" t="s">
        <v>83</v>
      </c>
      <c r="C4" s="1">
        <v>17</v>
      </c>
      <c r="D4" s="1">
        <v>2288</v>
      </c>
      <c r="E4" s="1">
        <f t="shared" ref="E4:E11" si="0">2688-D4</f>
        <v>400</v>
      </c>
    </row>
    <row r="5" spans="1:5">
      <c r="A5" s="1" t="s">
        <v>92</v>
      </c>
      <c r="B5" s="1" t="s">
        <v>83</v>
      </c>
      <c r="C5" s="1">
        <v>18</v>
      </c>
      <c r="D5" s="1">
        <v>2702</v>
      </c>
      <c r="E5" s="1">
        <f t="shared" si="0"/>
        <v>-14</v>
      </c>
    </row>
    <row r="6" spans="1:5">
      <c r="A6" s="1" t="s">
        <v>456</v>
      </c>
      <c r="B6" s="1" t="s">
        <v>83</v>
      </c>
      <c r="C6" s="1">
        <v>18</v>
      </c>
      <c r="D6" s="1">
        <v>2688</v>
      </c>
      <c r="E6" s="1">
        <f t="shared" si="0"/>
        <v>0</v>
      </c>
    </row>
    <row r="7" spans="1:6">
      <c r="A7" s="1" t="s">
        <v>457</v>
      </c>
      <c r="B7" s="1" t="s">
        <v>83</v>
      </c>
      <c r="C7" s="1">
        <v>1</v>
      </c>
      <c r="D7" s="1">
        <v>48</v>
      </c>
      <c r="E7" s="1">
        <f t="shared" si="0"/>
        <v>2640</v>
      </c>
      <c r="F7" t="s">
        <v>458</v>
      </c>
    </row>
    <row r="8" spans="1:5">
      <c r="A8" s="1" t="s">
        <v>7</v>
      </c>
      <c r="B8" s="1" t="s">
        <v>83</v>
      </c>
      <c r="C8" s="1">
        <v>16</v>
      </c>
      <c r="D8" s="1">
        <v>1923</v>
      </c>
      <c r="E8" s="1">
        <f t="shared" si="0"/>
        <v>765</v>
      </c>
    </row>
    <row r="9" spans="1:5">
      <c r="A9" s="1" t="s">
        <v>459</v>
      </c>
      <c r="B9" s="1" t="s">
        <v>83</v>
      </c>
      <c r="C9" s="1">
        <v>16</v>
      </c>
      <c r="D9" s="1">
        <v>2167</v>
      </c>
      <c r="E9" s="1">
        <f t="shared" si="0"/>
        <v>521</v>
      </c>
    </row>
    <row r="10" spans="1:5">
      <c r="A10" s="1" t="s">
        <v>460</v>
      </c>
      <c r="B10" s="1" t="s">
        <v>83</v>
      </c>
      <c r="C10" s="1">
        <v>16</v>
      </c>
      <c r="D10" s="1">
        <v>1792</v>
      </c>
      <c r="E10" s="1">
        <f t="shared" si="0"/>
        <v>896</v>
      </c>
    </row>
    <row r="11" spans="1:5">
      <c r="A11" s="1" t="s">
        <v>339</v>
      </c>
      <c r="B11" s="1" t="s">
        <v>83</v>
      </c>
      <c r="C11" s="1">
        <v>6</v>
      </c>
      <c r="D11" s="1">
        <v>1236</v>
      </c>
      <c r="E11" s="1">
        <f t="shared" si="0"/>
        <v>1452</v>
      </c>
    </row>
    <row r="12" spans="1:6">
      <c r="A12" s="2" t="s">
        <v>461</v>
      </c>
      <c r="B12" s="2" t="s">
        <v>83</v>
      </c>
      <c r="C12" s="2">
        <v>18</v>
      </c>
      <c r="D12" s="2">
        <v>1728</v>
      </c>
      <c r="E12" s="2">
        <f>1728-D12</f>
        <v>0</v>
      </c>
      <c r="F12" t="s">
        <v>452</v>
      </c>
    </row>
    <row r="13" spans="1:5">
      <c r="A13" s="2" t="s">
        <v>462</v>
      </c>
      <c r="B13" s="2" t="s">
        <v>83</v>
      </c>
      <c r="C13" s="2">
        <v>2</v>
      </c>
      <c r="D13" s="2">
        <v>4</v>
      </c>
      <c r="E13" s="2">
        <f t="shared" ref="E13:E23" si="1">1728-D13</f>
        <v>1724</v>
      </c>
    </row>
    <row r="14" spans="1:5">
      <c r="A14" s="2" t="s">
        <v>100</v>
      </c>
      <c r="B14" s="2" t="s">
        <v>83</v>
      </c>
      <c r="C14" s="2">
        <v>17</v>
      </c>
      <c r="D14" s="2">
        <v>1574</v>
      </c>
      <c r="E14" s="2">
        <f t="shared" si="1"/>
        <v>154</v>
      </c>
    </row>
    <row r="15" spans="1:5">
      <c r="A15" s="2" t="s">
        <v>102</v>
      </c>
      <c r="B15" s="2" t="s">
        <v>83</v>
      </c>
      <c r="C15" s="2">
        <v>15</v>
      </c>
      <c r="D15" s="2">
        <v>1108</v>
      </c>
      <c r="E15" s="2">
        <f t="shared" si="1"/>
        <v>620</v>
      </c>
    </row>
    <row r="16" spans="1:6">
      <c r="A16" s="2" t="s">
        <v>13</v>
      </c>
      <c r="B16" s="2" t="s">
        <v>83</v>
      </c>
      <c r="C16" s="2">
        <v>14</v>
      </c>
      <c r="D16" s="2">
        <v>773</v>
      </c>
      <c r="E16" s="2">
        <f t="shared" si="1"/>
        <v>955</v>
      </c>
      <c r="F16" t="s">
        <v>463</v>
      </c>
    </row>
    <row r="17" spans="1:5">
      <c r="A17" s="2" t="s">
        <v>111</v>
      </c>
      <c r="B17" s="2" t="s">
        <v>83</v>
      </c>
      <c r="C17" s="2">
        <v>16</v>
      </c>
      <c r="D17" s="2">
        <v>1211</v>
      </c>
      <c r="E17" s="2">
        <f t="shared" si="1"/>
        <v>517</v>
      </c>
    </row>
    <row r="18" spans="1:5">
      <c r="A18" s="2" t="s">
        <v>15</v>
      </c>
      <c r="B18" s="2" t="s">
        <v>83</v>
      </c>
      <c r="C18" s="2">
        <v>15</v>
      </c>
      <c r="D18" s="2">
        <v>1044</v>
      </c>
      <c r="E18" s="2">
        <f t="shared" si="1"/>
        <v>684</v>
      </c>
    </row>
    <row r="19" spans="1:5">
      <c r="A19" s="2" t="s">
        <v>11</v>
      </c>
      <c r="B19" s="2" t="s">
        <v>83</v>
      </c>
      <c r="C19" s="2">
        <v>4</v>
      </c>
      <c r="D19" s="2">
        <v>498</v>
      </c>
      <c r="E19" s="2">
        <f t="shared" si="1"/>
        <v>1230</v>
      </c>
    </row>
    <row r="20" spans="1:5">
      <c r="A20" s="2" t="s">
        <v>348</v>
      </c>
      <c r="B20" s="2" t="s">
        <v>83</v>
      </c>
      <c r="C20" s="2">
        <v>4</v>
      </c>
      <c r="D20" s="2">
        <v>624</v>
      </c>
      <c r="E20" s="2">
        <f t="shared" si="1"/>
        <v>1104</v>
      </c>
    </row>
    <row r="21" spans="1:5">
      <c r="A21" s="2" t="s">
        <v>354</v>
      </c>
      <c r="B21" s="2" t="s">
        <v>83</v>
      </c>
      <c r="C21" s="2">
        <v>1</v>
      </c>
      <c r="D21" s="2">
        <v>736</v>
      </c>
      <c r="E21" s="2">
        <f t="shared" si="1"/>
        <v>992</v>
      </c>
    </row>
    <row r="22" spans="1:5">
      <c r="A22" s="2" t="s">
        <v>14</v>
      </c>
      <c r="B22" s="2" t="s">
        <v>83</v>
      </c>
      <c r="C22" s="2">
        <v>7</v>
      </c>
      <c r="D22" s="2">
        <v>878</v>
      </c>
      <c r="E22" s="2">
        <f t="shared" si="1"/>
        <v>850</v>
      </c>
    </row>
    <row r="23" spans="1:5">
      <c r="A23" s="2" t="s">
        <v>360</v>
      </c>
      <c r="B23" s="2" t="s">
        <v>83</v>
      </c>
      <c r="C23" s="2">
        <v>5</v>
      </c>
      <c r="D23" s="2">
        <v>1390</v>
      </c>
      <c r="E23" s="2">
        <f t="shared" si="1"/>
        <v>338</v>
      </c>
    </row>
    <row r="24" spans="1:6">
      <c r="A24" s="3" t="s">
        <v>17</v>
      </c>
      <c r="B24" s="3" t="s">
        <v>83</v>
      </c>
      <c r="C24" s="3">
        <v>13</v>
      </c>
      <c r="D24" s="3">
        <v>664</v>
      </c>
      <c r="E24" s="3">
        <f t="shared" ref="E24:E29" si="2">1216-D24</f>
        <v>552</v>
      </c>
      <c r="F24" t="s">
        <v>458</v>
      </c>
    </row>
    <row r="25" spans="1:6">
      <c r="A25" s="3" t="s">
        <v>464</v>
      </c>
      <c r="B25" s="3" t="s">
        <v>83</v>
      </c>
      <c r="C25" s="3">
        <v>16</v>
      </c>
      <c r="D25" s="3">
        <v>834</v>
      </c>
      <c r="E25" s="3">
        <f t="shared" si="2"/>
        <v>382</v>
      </c>
      <c r="F25" t="s">
        <v>465</v>
      </c>
    </row>
    <row r="26" spans="1:6">
      <c r="A26" s="3" t="s">
        <v>19</v>
      </c>
      <c r="B26" s="3" t="s">
        <v>83</v>
      </c>
      <c r="C26" s="3">
        <v>13</v>
      </c>
      <c r="D26" s="3">
        <v>490</v>
      </c>
      <c r="E26" s="3">
        <f t="shared" si="2"/>
        <v>726</v>
      </c>
      <c r="F26" t="s">
        <v>458</v>
      </c>
    </row>
    <row r="27" spans="1:6">
      <c r="A27" s="3" t="s">
        <v>20</v>
      </c>
      <c r="B27" s="3" t="s">
        <v>83</v>
      </c>
      <c r="C27" s="3">
        <v>15</v>
      </c>
      <c r="D27" s="3">
        <v>746</v>
      </c>
      <c r="E27" s="3">
        <f t="shared" si="2"/>
        <v>470</v>
      </c>
      <c r="F27" t="s">
        <v>463</v>
      </c>
    </row>
    <row r="28" spans="1:6">
      <c r="A28" s="3" t="s">
        <v>466</v>
      </c>
      <c r="B28" s="3" t="s">
        <v>83</v>
      </c>
      <c r="C28" s="3">
        <v>14</v>
      </c>
      <c r="D28" s="3">
        <v>587</v>
      </c>
      <c r="E28" s="3">
        <f t="shared" si="2"/>
        <v>629</v>
      </c>
      <c r="F28" t="s">
        <v>463</v>
      </c>
    </row>
    <row r="29" spans="1:5">
      <c r="A29" s="3" t="s">
        <v>467</v>
      </c>
      <c r="B29" s="3" t="s">
        <v>83</v>
      </c>
      <c r="C29" s="3">
        <v>2</v>
      </c>
      <c r="D29" s="3">
        <v>668</v>
      </c>
      <c r="E29" s="3">
        <f t="shared" si="2"/>
        <v>548</v>
      </c>
    </row>
    <row r="34" spans="1:6">
      <c r="A34" s="1" t="s">
        <v>468</v>
      </c>
      <c r="B34" s="1" t="s">
        <v>119</v>
      </c>
      <c r="C34" s="1">
        <v>18</v>
      </c>
      <c r="D34" s="1">
        <v>2688</v>
      </c>
      <c r="E34" s="1">
        <f>2688-D34</f>
        <v>0</v>
      </c>
      <c r="F34" t="s">
        <v>452</v>
      </c>
    </row>
    <row r="35" spans="1:5">
      <c r="A35" s="1" t="s">
        <v>469</v>
      </c>
      <c r="B35" s="1" t="s">
        <v>119</v>
      </c>
      <c r="C35" s="1">
        <v>16</v>
      </c>
      <c r="D35" s="1">
        <v>1900</v>
      </c>
      <c r="E35" s="1">
        <f t="shared" ref="E35:E41" si="3">2688-D35</f>
        <v>788</v>
      </c>
    </row>
    <row r="36" spans="1:6">
      <c r="A36" s="1" t="s">
        <v>121</v>
      </c>
      <c r="B36" s="1" t="s">
        <v>119</v>
      </c>
      <c r="C36" s="1">
        <v>17</v>
      </c>
      <c r="D36" s="1">
        <v>2539</v>
      </c>
      <c r="E36" s="1">
        <f t="shared" si="3"/>
        <v>149</v>
      </c>
      <c r="F36" t="s">
        <v>463</v>
      </c>
    </row>
    <row r="37" spans="1:6">
      <c r="A37" s="1" t="s">
        <v>470</v>
      </c>
      <c r="B37" s="1" t="s">
        <v>119</v>
      </c>
      <c r="C37" s="1">
        <v>13</v>
      </c>
      <c r="D37" s="1">
        <v>1040</v>
      </c>
      <c r="E37" s="1">
        <f t="shared" si="3"/>
        <v>1648</v>
      </c>
      <c r="F37" t="s">
        <v>458</v>
      </c>
    </row>
    <row r="38" spans="1:6">
      <c r="A38" s="1" t="s">
        <v>471</v>
      </c>
      <c r="B38" s="1" t="s">
        <v>119</v>
      </c>
      <c r="C38" s="1">
        <v>13</v>
      </c>
      <c r="D38" s="1">
        <v>832</v>
      </c>
      <c r="E38" s="1">
        <f t="shared" si="3"/>
        <v>1856</v>
      </c>
      <c r="F38" t="s">
        <v>458</v>
      </c>
    </row>
    <row r="39" spans="1:6">
      <c r="A39" s="1" t="s">
        <v>27</v>
      </c>
      <c r="B39" s="1" t="s">
        <v>119</v>
      </c>
      <c r="C39" s="1">
        <v>18</v>
      </c>
      <c r="D39" s="1">
        <v>2688</v>
      </c>
      <c r="E39" s="1">
        <f t="shared" si="3"/>
        <v>0</v>
      </c>
      <c r="F39" t="s">
        <v>452</v>
      </c>
    </row>
    <row r="40" spans="1:5">
      <c r="A40" s="1" t="s">
        <v>472</v>
      </c>
      <c r="B40" s="1" t="s">
        <v>119</v>
      </c>
      <c r="C40" s="1">
        <v>6</v>
      </c>
      <c r="D40" s="1">
        <v>1257</v>
      </c>
      <c r="E40" s="1">
        <f t="shared" si="3"/>
        <v>1431</v>
      </c>
    </row>
    <row r="41" spans="1:5">
      <c r="A41" s="1" t="s">
        <v>473</v>
      </c>
      <c r="B41" s="1" t="s">
        <v>119</v>
      </c>
      <c r="C41" s="1">
        <v>6</v>
      </c>
      <c r="D41" s="1">
        <v>1424</v>
      </c>
      <c r="E41" s="1">
        <f t="shared" si="3"/>
        <v>1264</v>
      </c>
    </row>
    <row r="42" spans="1:6">
      <c r="A42" s="2" t="s">
        <v>129</v>
      </c>
      <c r="B42" s="2" t="s">
        <v>119</v>
      </c>
      <c r="C42" s="2">
        <v>14</v>
      </c>
      <c r="D42" s="2">
        <v>623</v>
      </c>
      <c r="E42" s="2">
        <f>1728-D42</f>
        <v>1105</v>
      </c>
      <c r="F42" t="s">
        <v>463</v>
      </c>
    </row>
    <row r="43" spans="1:6">
      <c r="A43" s="2" t="s">
        <v>28</v>
      </c>
      <c r="B43" s="2" t="s">
        <v>119</v>
      </c>
      <c r="C43" s="2">
        <v>16</v>
      </c>
      <c r="D43" s="2">
        <v>1290</v>
      </c>
      <c r="E43" s="2">
        <f t="shared" ref="E43:E51" si="4">1728-D43</f>
        <v>438</v>
      </c>
      <c r="F43" t="s">
        <v>465</v>
      </c>
    </row>
    <row r="44" spans="1:6">
      <c r="A44" s="2" t="s">
        <v>29</v>
      </c>
      <c r="B44" s="2" t="s">
        <v>119</v>
      </c>
      <c r="C44" s="2">
        <v>14</v>
      </c>
      <c r="D44" s="2">
        <v>817</v>
      </c>
      <c r="E44" s="2">
        <f t="shared" si="4"/>
        <v>911</v>
      </c>
      <c r="F44" t="s">
        <v>463</v>
      </c>
    </row>
    <row r="45" spans="1:7">
      <c r="A45" s="2" t="s">
        <v>474</v>
      </c>
      <c r="B45" s="2" t="s">
        <v>119</v>
      </c>
      <c r="C45" s="2">
        <v>17</v>
      </c>
      <c r="D45" s="2">
        <v>1449</v>
      </c>
      <c r="E45" s="2">
        <f t="shared" si="4"/>
        <v>279</v>
      </c>
      <c r="F45" t="s">
        <v>454</v>
      </c>
      <c r="G45" t="s">
        <v>475</v>
      </c>
    </row>
    <row r="46" spans="1:6">
      <c r="A46" s="2" t="s">
        <v>476</v>
      </c>
      <c r="B46" s="2" t="s">
        <v>119</v>
      </c>
      <c r="C46" s="2">
        <v>17</v>
      </c>
      <c r="D46" s="2">
        <v>1408</v>
      </c>
      <c r="E46" s="2">
        <f t="shared" si="4"/>
        <v>320</v>
      </c>
      <c r="F46" t="s">
        <v>454</v>
      </c>
    </row>
    <row r="47" spans="1:5">
      <c r="A47" s="2" t="s">
        <v>477</v>
      </c>
      <c r="B47" s="2" t="s">
        <v>119</v>
      </c>
      <c r="C47" s="2">
        <v>0</v>
      </c>
      <c r="D47" s="2">
        <v>0</v>
      </c>
      <c r="E47" s="2">
        <f t="shared" si="4"/>
        <v>1728</v>
      </c>
    </row>
    <row r="48" spans="1:5">
      <c r="A48" s="2" t="s">
        <v>139</v>
      </c>
      <c r="B48" s="2" t="s">
        <v>119</v>
      </c>
      <c r="C48" s="2">
        <v>15</v>
      </c>
      <c r="D48" s="2">
        <v>1207</v>
      </c>
      <c r="E48" s="2">
        <f t="shared" si="4"/>
        <v>521</v>
      </c>
    </row>
    <row r="49" spans="1:5">
      <c r="A49" s="2" t="s">
        <v>31</v>
      </c>
      <c r="B49" s="2" t="s">
        <v>119</v>
      </c>
      <c r="C49" s="2">
        <v>13</v>
      </c>
      <c r="D49" s="2">
        <v>932</v>
      </c>
      <c r="E49" s="2">
        <f t="shared" si="4"/>
        <v>796</v>
      </c>
    </row>
    <row r="50" spans="1:6">
      <c r="A50" s="2" t="s">
        <v>32</v>
      </c>
      <c r="B50" s="2" t="s">
        <v>119</v>
      </c>
      <c r="C50" s="2">
        <v>17</v>
      </c>
      <c r="D50" s="2">
        <v>1408</v>
      </c>
      <c r="E50" s="2">
        <f t="shared" si="4"/>
        <v>320</v>
      </c>
      <c r="F50" t="s">
        <v>465</v>
      </c>
    </row>
    <row r="51" spans="1:6">
      <c r="A51" s="2" t="s">
        <v>74</v>
      </c>
      <c r="B51" s="2" t="s">
        <v>119</v>
      </c>
      <c r="C51" s="2">
        <v>10</v>
      </c>
      <c r="D51" s="2">
        <v>775</v>
      </c>
      <c r="E51" s="2">
        <f t="shared" si="4"/>
        <v>953</v>
      </c>
      <c r="F51" t="s">
        <v>458</v>
      </c>
    </row>
    <row r="52" spans="1:5">
      <c r="A52" s="3" t="s">
        <v>478</v>
      </c>
      <c r="B52" s="3" t="s">
        <v>119</v>
      </c>
      <c r="C52" s="3">
        <v>3</v>
      </c>
      <c r="D52" s="3">
        <v>612</v>
      </c>
      <c r="E52" s="3">
        <f>1216-D52</f>
        <v>604</v>
      </c>
    </row>
    <row r="53" spans="1:5">
      <c r="A53" s="3" t="s">
        <v>33</v>
      </c>
      <c r="B53" s="3" t="s">
        <v>119</v>
      </c>
      <c r="C53" s="3">
        <v>2</v>
      </c>
      <c r="D53" s="3">
        <v>762</v>
      </c>
      <c r="E53" s="3">
        <f>1216-D53</f>
        <v>454</v>
      </c>
    </row>
    <row r="54" spans="1:6">
      <c r="A54" s="3" t="s">
        <v>34</v>
      </c>
      <c r="B54" s="3" t="s">
        <v>119</v>
      </c>
      <c r="C54" s="3">
        <v>12</v>
      </c>
      <c r="D54" s="3">
        <v>739</v>
      </c>
      <c r="E54" s="3">
        <f>1216-D54</f>
        <v>477</v>
      </c>
      <c r="F54" t="s">
        <v>458</v>
      </c>
    </row>
    <row r="55" spans="1:5">
      <c r="A55" s="3" t="s">
        <v>479</v>
      </c>
      <c r="B55" s="3" t="s">
        <v>119</v>
      </c>
      <c r="C55" s="3">
        <v>6</v>
      </c>
      <c r="D55" s="3">
        <v>439</v>
      </c>
      <c r="E55" s="3">
        <f>1216-D55</f>
        <v>777</v>
      </c>
    </row>
    <row r="56" spans="1:5">
      <c r="A56" s="3" t="s">
        <v>480</v>
      </c>
      <c r="B56" s="3" t="s">
        <v>119</v>
      </c>
      <c r="C56" s="3">
        <v>3</v>
      </c>
      <c r="D56" s="3">
        <v>464</v>
      </c>
      <c r="E56" s="3">
        <f>1216-D56</f>
        <v>752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C16" sqref="C16"/>
    </sheetView>
  </sheetViews>
  <sheetFormatPr defaultColWidth="9" defaultRowHeight="13.5" outlineLevelCol="3"/>
  <cols>
    <col min="2" max="2" width="13.25" customWidth="1"/>
    <col min="3" max="3" width="14.5" customWidth="1"/>
    <col min="4" max="4" width="16" customWidth="1"/>
    <col min="5" max="5" width="12.625" customWidth="1"/>
  </cols>
  <sheetData>
    <row r="1" spans="1:4">
      <c r="A1" t="s">
        <v>481</v>
      </c>
      <c r="B1" t="s">
        <v>482</v>
      </c>
      <c r="C1" t="s">
        <v>483</v>
      </c>
      <c r="D1" t="s">
        <v>484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2</v>
      </c>
      <c r="C3">
        <v>2</v>
      </c>
      <c r="D3">
        <v>2</v>
      </c>
    </row>
    <row r="4" spans="1:4">
      <c r="A4">
        <v>3</v>
      </c>
      <c r="B4">
        <v>4</v>
      </c>
      <c r="C4">
        <v>4</v>
      </c>
      <c r="D4">
        <v>4</v>
      </c>
    </row>
    <row r="5" spans="1:4">
      <c r="A5">
        <v>4</v>
      </c>
      <c r="B5">
        <v>8</v>
      </c>
      <c r="C5">
        <v>8</v>
      </c>
      <c r="D5">
        <v>8</v>
      </c>
    </row>
    <row r="6" spans="1:4">
      <c r="A6">
        <v>5</v>
      </c>
      <c r="B6">
        <v>16</v>
      </c>
      <c r="C6">
        <v>16</v>
      </c>
      <c r="D6">
        <v>16</v>
      </c>
    </row>
    <row r="7" spans="1:4">
      <c r="A7">
        <v>6</v>
      </c>
      <c r="B7">
        <v>32</v>
      </c>
      <c r="C7">
        <v>32</v>
      </c>
      <c r="D7">
        <v>32</v>
      </c>
    </row>
    <row r="8" spans="1:4">
      <c r="A8">
        <v>7</v>
      </c>
      <c r="B8">
        <v>64</v>
      </c>
      <c r="C8">
        <v>64</v>
      </c>
      <c r="D8">
        <v>64</v>
      </c>
    </row>
    <row r="9" spans="1:4">
      <c r="A9">
        <v>8</v>
      </c>
      <c r="B9">
        <v>128</v>
      </c>
      <c r="C9">
        <v>96</v>
      </c>
      <c r="D9">
        <v>96</v>
      </c>
    </row>
    <row r="10" spans="1:4">
      <c r="A10">
        <v>9</v>
      </c>
      <c r="B10">
        <v>192</v>
      </c>
      <c r="C10">
        <v>160</v>
      </c>
      <c r="D10">
        <v>128</v>
      </c>
    </row>
    <row r="11" spans="1:4">
      <c r="A11">
        <v>10</v>
      </c>
      <c r="B11">
        <v>320</v>
      </c>
      <c r="C11">
        <v>224</v>
      </c>
      <c r="D11">
        <v>192</v>
      </c>
    </row>
    <row r="12" spans="1:4">
      <c r="A12">
        <v>11</v>
      </c>
      <c r="B12">
        <v>448</v>
      </c>
      <c r="C12">
        <v>320</v>
      </c>
      <c r="D12">
        <v>256</v>
      </c>
    </row>
    <row r="13" spans="1:4">
      <c r="A13">
        <v>12</v>
      </c>
      <c r="B13">
        <v>640</v>
      </c>
      <c r="C13">
        <v>416</v>
      </c>
      <c r="D13">
        <v>352</v>
      </c>
    </row>
    <row r="14" spans="1:4">
      <c r="A14">
        <v>13</v>
      </c>
      <c r="B14">
        <v>832</v>
      </c>
      <c r="C14">
        <v>576</v>
      </c>
      <c r="D14">
        <v>448</v>
      </c>
    </row>
    <row r="15" spans="1:4">
      <c r="A15">
        <v>14</v>
      </c>
      <c r="B15">
        <v>1152</v>
      </c>
      <c r="C15">
        <v>736</v>
      </c>
      <c r="D15">
        <v>576</v>
      </c>
    </row>
    <row r="16" spans="1:4">
      <c r="A16">
        <v>15</v>
      </c>
      <c r="B16">
        <v>1472</v>
      </c>
      <c r="C16">
        <v>960</v>
      </c>
      <c r="D16">
        <v>704</v>
      </c>
    </row>
    <row r="17" spans="1:4">
      <c r="A17">
        <v>16</v>
      </c>
      <c r="B17">
        <v>1792</v>
      </c>
      <c r="C17">
        <v>1184</v>
      </c>
      <c r="D17">
        <v>832</v>
      </c>
    </row>
    <row r="18" spans="1:4">
      <c r="A18">
        <v>17</v>
      </c>
      <c r="B18">
        <v>2240</v>
      </c>
      <c r="C18">
        <v>1408</v>
      </c>
      <c r="D18">
        <v>1024</v>
      </c>
    </row>
    <row r="19" spans="1:4">
      <c r="A19">
        <v>18</v>
      </c>
      <c r="B19">
        <v>2688</v>
      </c>
      <c r="C19">
        <v>1728</v>
      </c>
      <c r="D19">
        <v>1216</v>
      </c>
    </row>
    <row r="20" spans="1:4">
      <c r="A20">
        <v>19</v>
      </c>
      <c r="B20">
        <v>3136</v>
      </c>
      <c r="C20">
        <v>2048</v>
      </c>
      <c r="D20">
        <v>1408</v>
      </c>
    </row>
    <row r="21" spans="1:4">
      <c r="A21">
        <v>20</v>
      </c>
      <c r="B21">
        <v>3584</v>
      </c>
      <c r="C21">
        <v>2368</v>
      </c>
      <c r="D21">
        <v>1600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帝国</vt:lpstr>
      <vt:lpstr>隐秘</vt:lpstr>
      <vt:lpstr>港口</vt:lpstr>
      <vt:lpstr>禅意</vt:lpstr>
      <vt:lpstr>阿斯塔拉</vt:lpstr>
      <vt:lpstr>伊萝莲</vt:lpstr>
      <vt:lpstr>格纳洛尔</vt:lpstr>
      <vt:lpstr>摩根</vt:lpstr>
      <vt:lpstr>洛</vt:lpstr>
      <vt:lpstr>洞察表</vt:lpstr>
      <vt:lpstr>护甲表</vt:lpstr>
      <vt:lpstr>到18级还差多少张卡</vt:lpstr>
      <vt:lpstr>卡等需求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2026-03-13T03:39:17Z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7A502FD22F60457D978295AB1C574183_12</vt:lpwstr>
  </property>
</Properties>
</file>