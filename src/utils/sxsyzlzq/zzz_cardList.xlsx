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45" windowHeight="12345" activeTab="6"/>
  </bookViews>
  <sheets>
    <sheet name="伊萝莲" sheetId="1" r:id="rId1"/>
    <sheet name="阿斯塔拉" sheetId="2" r:id="rId2"/>
    <sheet name="梅" sheetId="3" r:id="rId3"/>
    <sheet name="白处尊" sheetId="4" r:id="rId4"/>
    <sheet name="帝国" sheetId="5" r:id="rId5"/>
    <sheet name="隐秘" sheetId="6" r:id="rId6"/>
    <sheet name="禅意" sheetId="7" r:id="rId7"/>
    <sheet name="炼狱" sheetId="8" r:id="rId8"/>
  </sheets>
  <calcPr calcId="144525"/>
</workbook>
</file>

<file path=xl/sharedStrings.xml><?xml version="1.0" encoding="utf-8"?>
<sst xmlns="http://schemas.openxmlformats.org/spreadsheetml/2006/main" count="391" uniqueCount="90">
  <si>
    <t>名称</t>
  </si>
  <si>
    <t>品质</t>
  </si>
  <si>
    <t>费用</t>
  </si>
  <si>
    <t>卡等</t>
  </si>
  <si>
    <t>圣殿斥候</t>
  </si>
  <si>
    <t>蓝色</t>
  </si>
  <si>
    <t>学仆观测型</t>
  </si>
  <si>
    <t>天使琼浆</t>
  </si>
  <si>
    <t>沉默否定</t>
  </si>
  <si>
    <t>塔楼弓手</t>
  </si>
  <si>
    <t>圣殿弩手</t>
  </si>
  <si>
    <t>光明惩戒</t>
  </si>
  <si>
    <t>小计：</t>
  </si>
  <si>
    <t>蓝色卡等：</t>
  </si>
  <si>
    <t>圣殿御卫</t>
  </si>
  <si>
    <t>紫色</t>
  </si>
  <si>
    <t>破魔系教授</t>
  </si>
  <si>
    <t>克隆术</t>
  </si>
  <si>
    <t>边境高墙</t>
  </si>
  <si>
    <t>学仆-脉冲型</t>
  </si>
  <si>
    <t>幻域秘树</t>
  </si>
  <si>
    <t>召集护卫</t>
  </si>
  <si>
    <t>观星台大预言家</t>
  </si>
  <si>
    <t>惩戒天使</t>
  </si>
  <si>
    <t>禁卫指挥官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</si>
  <si>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</si>
  <si>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</si>
  <si>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</si>
  <si>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</si>
  <si>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</si>
  <si>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</si>
  <si>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</si>
  <si>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月之神·米拉</t>
  </si>
  <si>
    <t>白袍·伊恩</t>
  </si>
  <si>
    <t>火蛇巫女·沃凡瑞拉</t>
  </si>
  <si>
    <t>武圣·云长</t>
  </si>
  <si>
    <t>橙色卡等：</t>
  </si>
  <si>
    <t>总计：</t>
  </si>
  <si>
    <t>学仆-观测型</t>
  </si>
  <si>
    <t>卜命道长</t>
  </si>
  <si>
    <t>旅行背包</t>
  </si>
  <si>
    <t>重装固守</t>
  </si>
  <si>
    <t>执剑道人</t>
  </si>
  <si>
    <t>连击</t>
  </si>
  <si>
    <t>龟族僧人</t>
  </si>
  <si>
    <t>深山采药人</t>
  </si>
  <si>
    <t>叶幻师</t>
  </si>
  <si>
    <t>风卷残云</t>
  </si>
  <si>
    <t>祥云师太</t>
  </si>
  <si>
    <t>驱魔道人</t>
  </si>
  <si>
    <t>扫叶僧</t>
  </si>
  <si>
    <t>冲锋装备</t>
  </si>
  <si>
    <t>御风武者</t>
  </si>
  <si>
    <t>蟠桃会</t>
  </si>
  <si>
    <t>万物之灵</t>
  </si>
  <si>
    <t>上宝沁金耙</t>
  </si>
  <si>
    <t>禁卫百夫长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</si>
  <si>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</si>
  <si>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</si>
  <si>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</si>
  <si>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</si>
  <si>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</si>
  <si>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</si>
  <si>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</si>
  <si>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No.2时光·米拉</t>
  </si>
  <si>
    <t>No.6沃凡瑞拉</t>
  </si>
  <si>
    <t>箭竹守卫</t>
  </si>
  <si>
    <t>白羊药师</t>
  </si>
  <si>
    <t>树木之怒</t>
  </si>
  <si>
    <t>苦行武僧</t>
  </si>
  <si>
    <t>执剑道者</t>
  </si>
  <si>
    <t>疾风猎手</t>
  </si>
  <si>
    <t>风铃道人</t>
  </si>
  <si>
    <t>逍遥琴师</t>
  </si>
  <si>
    <t>神机玄女·轩</t>
  </si>
  <si>
    <t>冥河守卫</t>
  </si>
  <si>
    <t>落雷击</t>
  </si>
  <si>
    <t>邪眼魔</t>
  </si>
  <si>
    <t>残暴爪钩</t>
  </si>
  <si>
    <t>烈焰风暴</t>
  </si>
  <si>
    <t>碎颅魔</t>
  </si>
  <si>
    <t>觅食大嘴兽</t>
  </si>
  <si>
    <t>绝望镰魔</t>
  </si>
  <si>
    <t>岩浆球</t>
  </si>
  <si>
    <t>灼神双炎</t>
  </si>
  <si>
    <t>雷光炼狱</t>
  </si>
  <si>
    <t>地狱屠夫</t>
  </si>
  <si>
    <t>恶灵魔焰</t>
  </si>
  <si>
    <t>痛苦之心</t>
  </si>
  <si>
    <t>橙色色卡等：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</si>
</sst>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3" fillId="6" borderId="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2" fillId="0" borderId="1" applyNumberFormat="0" applyFill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23" fillId="4" borderId="7" applyNumberFormat="0" applyAlignment="0" applyProtection="0">
      <alignment vertical="center"/>
    </xf>
    <xf numFmtId="0" fontId="9" fillId="4" borderId="3" applyNumberFormat="0" applyAlignment="0" applyProtection="0">
      <alignment vertical="center"/>
    </xf>
    <xf numFmtId="0" fontId="19" fillId="20" borderId="6" applyNumberFormat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G21" sqref="G2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6</v>
      </c>
      <c r="B3" s="1" t="s">
        <v>5</v>
      </c>
      <c r="C3" s="1">
        <v>2</v>
      </c>
      <c r="D3" s="1">
        <v>16</v>
      </c>
    </row>
    <row r="4" spans="1:4">
      <c r="A4" s="1" t="s">
        <v>6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10</v>
      </c>
      <c r="B8" s="1" t="s">
        <v>5</v>
      </c>
      <c r="C8" s="1">
        <v>3</v>
      </c>
      <c r="D8" s="1">
        <v>16</v>
      </c>
    </row>
    <row r="9" spans="1:4">
      <c r="A9" s="1" t="s">
        <v>11</v>
      </c>
      <c r="B9" s="1" t="s">
        <v>5</v>
      </c>
      <c r="C9" s="1">
        <v>5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15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12</v>
      </c>
      <c r="B13" s="1" t="s">
        <v>13</v>
      </c>
      <c r="C13" s="1"/>
      <c r="D13" s="1">
        <f>AVERAGE(D2:D10)</f>
        <v>15.5555555555556</v>
      </c>
    </row>
    <row r="16" spans="1:4">
      <c r="A16" s="2" t="s">
        <v>14</v>
      </c>
      <c r="B16" s="2" t="s">
        <v>15</v>
      </c>
      <c r="C16" s="2">
        <v>2</v>
      </c>
      <c r="D16" s="2">
        <v>17</v>
      </c>
    </row>
    <row r="17" spans="1:4">
      <c r="A17" s="2" t="s">
        <v>16</v>
      </c>
      <c r="B17" s="2" t="s">
        <v>15</v>
      </c>
      <c r="C17" s="2">
        <v>2</v>
      </c>
      <c r="D17" s="2">
        <v>13</v>
      </c>
    </row>
    <row r="18" spans="1:4">
      <c r="A18" s="2" t="s">
        <v>16</v>
      </c>
      <c r="B18" s="2" t="s">
        <v>15</v>
      </c>
      <c r="C18" s="2">
        <v>2</v>
      </c>
      <c r="D18" s="2">
        <v>12</v>
      </c>
    </row>
    <row r="19" spans="1:4">
      <c r="A19" s="2" t="s">
        <v>17</v>
      </c>
      <c r="B19" s="2" t="s">
        <v>15</v>
      </c>
      <c r="C19" s="2">
        <v>2</v>
      </c>
      <c r="D19" s="2">
        <v>14</v>
      </c>
    </row>
    <row r="20" spans="1:4">
      <c r="A20" s="2" t="s">
        <v>18</v>
      </c>
      <c r="B20" s="2" t="s">
        <v>15</v>
      </c>
      <c r="C20" s="2">
        <v>3</v>
      </c>
      <c r="D20" s="2">
        <v>16</v>
      </c>
    </row>
    <row r="21" spans="1:4">
      <c r="A21" s="2" t="s">
        <v>19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14</v>
      </c>
    </row>
    <row r="23" spans="1:4">
      <c r="A23" s="2" t="s">
        <v>20</v>
      </c>
      <c r="B23" s="2" t="s">
        <v>15</v>
      </c>
      <c r="C23" s="2">
        <v>4</v>
      </c>
      <c r="D23" s="2">
        <v>15</v>
      </c>
    </row>
    <row r="24" spans="1:4">
      <c r="A24" s="2" t="s">
        <v>21</v>
      </c>
      <c r="B24" s="2" t="s">
        <v>15</v>
      </c>
      <c r="C24" s="2">
        <v>4</v>
      </c>
      <c r="D24" s="2">
        <v>13</v>
      </c>
    </row>
    <row r="25" spans="1:4">
      <c r="A25" s="2" t="s">
        <v>22</v>
      </c>
      <c r="B25" s="2" t="s">
        <v>15</v>
      </c>
      <c r="C25" s="2">
        <v>5</v>
      </c>
      <c r="D25" s="2">
        <v>12</v>
      </c>
    </row>
    <row r="26" spans="1:4">
      <c r="A26" s="2" t="s">
        <v>23</v>
      </c>
      <c r="B26" s="2" t="s">
        <v>15</v>
      </c>
      <c r="C26" s="2">
        <v>6</v>
      </c>
      <c r="D26" s="2">
        <v>14</v>
      </c>
    </row>
    <row r="27" spans="1:4">
      <c r="A27" s="2" t="s">
        <v>24</v>
      </c>
      <c r="B27" s="2" t="s">
        <v>15</v>
      </c>
      <c r="C27" s="2">
        <v>6</v>
      </c>
      <c r="D27" s="2">
        <v>15</v>
      </c>
    </row>
    <row r="28" spans="1:6">
      <c r="A28" s="2" t="s">
        <v>25</v>
      </c>
      <c r="B28" s="2" t="s">
        <v>15</v>
      </c>
      <c r="C28" s="2">
        <v>7</v>
      </c>
      <c r="D28" s="2">
        <v>14</v>
      </c>
      <c r="F28" s="6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12</v>
      </c>
      <c r="B31" s="2" t="s">
        <v>26</v>
      </c>
      <c r="C31" s="2"/>
      <c r="D31" s="2">
        <f>AVERAGE(D16:D28)</f>
        <v>14.2307692307692</v>
      </c>
    </row>
    <row r="34" spans="1:4">
      <c r="A34" s="3" t="s">
        <v>27</v>
      </c>
      <c r="B34" s="3" t="s">
        <v>28</v>
      </c>
      <c r="C34" s="3">
        <v>3</v>
      </c>
      <c r="D34" s="3">
        <v>13</v>
      </c>
    </row>
    <row r="35" spans="1:4">
      <c r="A35" s="3" t="s">
        <v>29</v>
      </c>
      <c r="B35" s="3" t="s">
        <v>28</v>
      </c>
      <c r="C35" s="3">
        <v>4</v>
      </c>
      <c r="D35" s="3">
        <v>14</v>
      </c>
    </row>
    <row r="36" spans="1:4">
      <c r="A36" s="3" t="s">
        <v>30</v>
      </c>
      <c r="B36" s="3" t="s">
        <v>28</v>
      </c>
      <c r="C36" s="3">
        <v>4</v>
      </c>
      <c r="D36" s="3">
        <v>12</v>
      </c>
    </row>
    <row r="37" spans="1:4">
      <c r="A37" s="3" t="s">
        <v>31</v>
      </c>
      <c r="B37" s="3" t="s">
        <v>28</v>
      </c>
      <c r="C37" s="3">
        <v>5</v>
      </c>
      <c r="D37" s="3">
        <v>14</v>
      </c>
    </row>
    <row r="38" spans="1:4">
      <c r="A38" s="3" t="s">
        <v>32</v>
      </c>
      <c r="B38" s="3" t="s">
        <v>28</v>
      </c>
      <c r="C38" s="3">
        <v>5</v>
      </c>
      <c r="D38" s="3">
        <v>12</v>
      </c>
    </row>
    <row r="39" spans="1:4">
      <c r="A39" s="3" t="s">
        <v>33</v>
      </c>
      <c r="B39" s="3" t="s">
        <v>28</v>
      </c>
      <c r="C39" s="3">
        <v>6</v>
      </c>
      <c r="D39" s="3">
        <v>13</v>
      </c>
    </row>
    <row r="40" spans="1:4">
      <c r="A40" s="3" t="s">
        <v>34</v>
      </c>
      <c r="B40" s="3" t="s">
        <v>28</v>
      </c>
      <c r="C40" s="3">
        <v>7</v>
      </c>
      <c r="D40" s="3">
        <v>12</v>
      </c>
    </row>
    <row r="41" spans="1:4">
      <c r="A41" s="3" t="s">
        <v>35</v>
      </c>
      <c r="B41" s="3" t="s">
        <v>28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36</v>
      </c>
      <c r="C44" s="3"/>
      <c r="D44" s="3">
        <f>AVERAGE(D34:D41)</f>
        <v>12.875</v>
      </c>
    </row>
    <row r="47" spans="1:4">
      <c r="A47" s="5" t="s">
        <v>37</v>
      </c>
      <c r="B47" s="5"/>
      <c r="C47" s="5"/>
      <c r="D47" s="5">
        <f>AVERAGE(D2:D10,D16:D28,D34:D41)</f>
        <v>14.2666666666667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E29" sqref="E29"/>
    </sheetView>
  </sheetViews>
  <sheetFormatPr defaultColWidth="9" defaultRowHeight="13.5" outlineLevelCol="3"/>
  <cols>
    <col min="1" max="1" width="18.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38</v>
      </c>
      <c r="B3" s="1" t="s">
        <v>5</v>
      </c>
      <c r="C3" s="1">
        <v>2</v>
      </c>
      <c r="D3" s="1">
        <v>16</v>
      </c>
    </row>
    <row r="4" spans="1:4">
      <c r="A4" s="1" t="s">
        <v>38</v>
      </c>
      <c r="B4" s="1" t="s">
        <v>5</v>
      </c>
      <c r="C4" s="1">
        <v>2</v>
      </c>
      <c r="D4" s="1">
        <v>16</v>
      </c>
    </row>
    <row r="5" spans="1:4">
      <c r="A5" s="1" t="s">
        <v>7</v>
      </c>
      <c r="B5" s="1" t="s">
        <v>5</v>
      </c>
      <c r="C5" s="1">
        <v>2</v>
      </c>
      <c r="D5" s="1">
        <v>16</v>
      </c>
    </row>
    <row r="6" spans="1:4">
      <c r="A6" s="1" t="s">
        <v>8</v>
      </c>
      <c r="B6" s="1" t="s">
        <v>5</v>
      </c>
      <c r="C6" s="1">
        <v>2</v>
      </c>
      <c r="D6" s="1">
        <v>13</v>
      </c>
    </row>
    <row r="7" spans="1:4">
      <c r="A7" s="1" t="s">
        <v>8</v>
      </c>
      <c r="B7" s="1" t="s">
        <v>5</v>
      </c>
      <c r="C7" s="1">
        <v>2</v>
      </c>
      <c r="D7" s="1">
        <v>13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10</v>
      </c>
      <c r="B9" s="1" t="s">
        <v>5</v>
      </c>
      <c r="C9" s="1">
        <v>3</v>
      </c>
      <c r="D9" s="1">
        <v>16</v>
      </c>
    </row>
    <row r="10" spans="1:4">
      <c r="A10" s="1" t="s">
        <v>11</v>
      </c>
      <c r="B10" s="1" t="s">
        <v>5</v>
      </c>
      <c r="C10" s="1">
        <v>5</v>
      </c>
      <c r="D10" s="1">
        <v>16</v>
      </c>
    </row>
    <row r="11" spans="1:4">
      <c r="A11" s="1" t="s">
        <v>11</v>
      </c>
      <c r="B11" s="1" t="s">
        <v>5</v>
      </c>
      <c r="C11" s="1">
        <v>5</v>
      </c>
      <c r="D11" s="1">
        <v>15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15.3</v>
      </c>
    </row>
    <row r="17" spans="1:4">
      <c r="A17" s="2" t="s">
        <v>14</v>
      </c>
      <c r="B17" s="2" t="s">
        <v>15</v>
      </c>
      <c r="C17" s="2">
        <v>2</v>
      </c>
      <c r="D17" s="2">
        <v>17</v>
      </c>
    </row>
    <row r="18" spans="1:4">
      <c r="A18" s="2" t="s">
        <v>16</v>
      </c>
      <c r="B18" s="2" t="s">
        <v>15</v>
      </c>
      <c r="C18" s="2">
        <v>2</v>
      </c>
      <c r="D18" s="2">
        <v>13</v>
      </c>
    </row>
    <row r="19" spans="1:4">
      <c r="A19" s="2" t="s">
        <v>16</v>
      </c>
      <c r="B19" s="2" t="s">
        <v>15</v>
      </c>
      <c r="C19" s="2">
        <v>2</v>
      </c>
      <c r="D19" s="2">
        <v>12</v>
      </c>
    </row>
    <row r="20" spans="1:4">
      <c r="A20" s="2" t="s">
        <v>17</v>
      </c>
      <c r="B20" s="2" t="s">
        <v>15</v>
      </c>
      <c r="C20" s="2">
        <v>2</v>
      </c>
      <c r="D20" s="2">
        <v>14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19</v>
      </c>
      <c r="B22" s="2" t="s">
        <v>15</v>
      </c>
      <c r="C22" s="2">
        <v>3</v>
      </c>
      <c r="D22" s="2">
        <v>16</v>
      </c>
    </row>
    <row r="23" spans="1:4">
      <c r="A23" s="2" t="s">
        <v>19</v>
      </c>
      <c r="B23" s="2" t="s">
        <v>15</v>
      </c>
      <c r="C23" s="2">
        <v>3</v>
      </c>
      <c r="D23" s="2">
        <v>14</v>
      </c>
    </row>
    <row r="24" spans="1:4">
      <c r="A24" s="2" t="s">
        <v>20</v>
      </c>
      <c r="B24" s="2" t="s">
        <v>15</v>
      </c>
      <c r="C24" s="2">
        <v>4</v>
      </c>
      <c r="D24" s="2">
        <v>15</v>
      </c>
    </row>
    <row r="25" spans="1:4">
      <c r="A25" s="2" t="s">
        <v>21</v>
      </c>
      <c r="B25" s="2" t="s">
        <v>15</v>
      </c>
      <c r="C25" s="2">
        <v>4</v>
      </c>
      <c r="D25" s="2">
        <v>13</v>
      </c>
    </row>
    <row r="26" spans="1:4">
      <c r="A26" s="2" t="s">
        <v>22</v>
      </c>
      <c r="B26" s="2" t="s">
        <v>15</v>
      </c>
      <c r="C26" s="2">
        <v>5</v>
      </c>
      <c r="D26" s="2">
        <v>12</v>
      </c>
    </row>
    <row r="27" spans="1:4">
      <c r="A27" s="2" t="s">
        <v>22</v>
      </c>
      <c r="B27" s="2" t="s">
        <v>15</v>
      </c>
      <c r="C27" s="2">
        <v>5</v>
      </c>
      <c r="D27" s="2">
        <v>11</v>
      </c>
    </row>
    <row r="28" spans="1:4">
      <c r="A28" s="2" t="s">
        <v>23</v>
      </c>
      <c r="B28" s="2" t="s">
        <v>15</v>
      </c>
      <c r="C28" s="2">
        <v>6</v>
      </c>
      <c r="D28" s="2">
        <v>14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 t="s">
        <v>25</v>
      </c>
      <c r="B30" s="2" t="s">
        <v>15</v>
      </c>
      <c r="C30" s="2">
        <v>7</v>
      </c>
      <c r="D30" s="2">
        <v>14</v>
      </c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 t="s">
        <v>12</v>
      </c>
      <c r="B33" s="2" t="s">
        <v>26</v>
      </c>
      <c r="C33" s="2"/>
      <c r="D33" s="2">
        <f>AVERAGE(D17:D30)</f>
        <v>14</v>
      </c>
    </row>
    <row r="36" spans="1:4">
      <c r="A36" s="3" t="s">
        <v>27</v>
      </c>
      <c r="B36" s="3" t="s">
        <v>28</v>
      </c>
      <c r="C36" s="3">
        <v>3</v>
      </c>
      <c r="D36" s="3">
        <v>13</v>
      </c>
    </row>
    <row r="37" spans="1:4">
      <c r="A37" s="3" t="s">
        <v>29</v>
      </c>
      <c r="B37" s="3" t="s">
        <v>28</v>
      </c>
      <c r="C37" s="3">
        <v>4</v>
      </c>
      <c r="D37" s="3">
        <v>14</v>
      </c>
    </row>
    <row r="38" spans="1:4">
      <c r="A38" s="3" t="s">
        <v>30</v>
      </c>
      <c r="B38" s="3" t="s">
        <v>28</v>
      </c>
      <c r="C38" s="3">
        <v>4</v>
      </c>
      <c r="D38" s="3">
        <v>12</v>
      </c>
    </row>
    <row r="39" spans="1:4">
      <c r="A39" s="3" t="s">
        <v>32</v>
      </c>
      <c r="B39" s="3" t="s">
        <v>28</v>
      </c>
      <c r="C39" s="3">
        <v>5</v>
      </c>
      <c r="D39" s="3">
        <v>12</v>
      </c>
    </row>
    <row r="40" spans="1:4">
      <c r="A40" s="3" t="s">
        <v>33</v>
      </c>
      <c r="B40" s="3" t="s">
        <v>28</v>
      </c>
      <c r="C40" s="3">
        <v>6</v>
      </c>
      <c r="D40" s="3">
        <v>13</v>
      </c>
    </row>
    <row r="41" spans="1:4">
      <c r="A41" s="3" t="s">
        <v>34</v>
      </c>
      <c r="B41" s="3" t="s">
        <v>28</v>
      </c>
      <c r="C41" s="3">
        <v>7</v>
      </c>
      <c r="D41" s="3">
        <v>12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36</v>
      </c>
      <c r="C44" s="3"/>
      <c r="D44" s="3">
        <f>AVERAGE(D36:D41)</f>
        <v>12.6666666666667</v>
      </c>
    </row>
    <row r="47" spans="1:4">
      <c r="A47" t="s">
        <v>37</v>
      </c>
      <c r="D47">
        <f>AVERAGE(D2:D11,D17:D30,D36:D41)</f>
        <v>14.1666666666667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6" workbookViewId="0">
      <selection activeCell="C57" sqref="C57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17</v>
      </c>
    </row>
    <row r="8" spans="1:4">
      <c r="A8" s="1" t="s">
        <v>43</v>
      </c>
      <c r="B8" s="1" t="s">
        <v>5</v>
      </c>
      <c r="C8" s="1">
        <v>3</v>
      </c>
      <c r="D8" s="1">
        <v>15</v>
      </c>
    </row>
    <row r="9" spans="1:4">
      <c r="A9" s="1" t="s">
        <v>43</v>
      </c>
      <c r="B9" s="1" t="s">
        <v>5</v>
      </c>
      <c r="C9" s="1">
        <v>3</v>
      </c>
      <c r="D9" s="1">
        <v>13</v>
      </c>
    </row>
    <row r="10" spans="1:4">
      <c r="A10" s="1" t="s">
        <v>44</v>
      </c>
      <c r="B10" s="1" t="s">
        <v>5</v>
      </c>
      <c r="C10" s="1">
        <v>3</v>
      </c>
      <c r="D10" s="1">
        <v>14</v>
      </c>
    </row>
    <row r="11" spans="1:4">
      <c r="A11" s="1" t="s">
        <v>45</v>
      </c>
      <c r="B11" s="1" t="s">
        <v>5</v>
      </c>
      <c r="C11" s="1">
        <v>3</v>
      </c>
      <c r="D11" s="1">
        <v>13</v>
      </c>
    </row>
    <row r="12" spans="1:4">
      <c r="A12" s="1" t="s">
        <v>46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48</v>
      </c>
      <c r="B14" s="1" t="s">
        <v>5</v>
      </c>
      <c r="C14" s="1">
        <v>4</v>
      </c>
      <c r="D14" s="1">
        <v>12</v>
      </c>
    </row>
    <row r="15" spans="1:4">
      <c r="A15" s="1" t="s">
        <v>11</v>
      </c>
      <c r="B15" s="1" t="s">
        <v>5</v>
      </c>
      <c r="C15" s="1">
        <v>5</v>
      </c>
      <c r="D15" s="1">
        <v>16</v>
      </c>
    </row>
    <row r="16" spans="1:4">
      <c r="A16" s="1" t="s">
        <v>11</v>
      </c>
      <c r="B16" s="1" t="s">
        <v>5</v>
      </c>
      <c r="C16" s="1">
        <v>5</v>
      </c>
      <c r="D16" s="1">
        <v>15</v>
      </c>
    </row>
    <row r="17" spans="1:4">
      <c r="A17" s="1"/>
      <c r="B17" s="1"/>
      <c r="C17" s="1"/>
      <c r="D17" s="1"/>
    </row>
    <row r="18" spans="1:4">
      <c r="A18" s="1"/>
      <c r="B18" s="1"/>
      <c r="C18" s="1"/>
      <c r="D18" s="1"/>
    </row>
    <row r="19" spans="1:4">
      <c r="A19" s="1" t="s">
        <v>12</v>
      </c>
      <c r="B19" s="1" t="s">
        <v>13</v>
      </c>
      <c r="C19" s="1"/>
      <c r="D19" s="1">
        <f>AVERAGE(D2:D16)</f>
        <v>14.2</v>
      </c>
    </row>
    <row r="22" spans="1:4">
      <c r="A22" s="2" t="s">
        <v>14</v>
      </c>
      <c r="B22" s="2" t="s">
        <v>15</v>
      </c>
      <c r="C22" s="2">
        <v>2</v>
      </c>
      <c r="D22" s="2">
        <v>17</v>
      </c>
    </row>
    <row r="23" spans="1:4">
      <c r="A23" s="2" t="s">
        <v>49</v>
      </c>
      <c r="B23" s="2" t="s">
        <v>15</v>
      </c>
      <c r="C23" s="2">
        <v>3</v>
      </c>
      <c r="D23" s="2">
        <v>14</v>
      </c>
    </row>
    <row r="24" spans="1:4">
      <c r="A24" s="2" t="s">
        <v>50</v>
      </c>
      <c r="B24" s="2" t="s">
        <v>15</v>
      </c>
      <c r="C24" s="2">
        <v>3</v>
      </c>
      <c r="D24" s="2">
        <v>14</v>
      </c>
    </row>
    <row r="25" spans="1:4">
      <c r="A25" s="2" t="s">
        <v>51</v>
      </c>
      <c r="B25" s="2" t="s">
        <v>15</v>
      </c>
      <c r="C25" s="2">
        <v>3</v>
      </c>
      <c r="D25" s="2">
        <v>15</v>
      </c>
    </row>
    <row r="26" spans="1:4">
      <c r="A26" s="2" t="s">
        <v>52</v>
      </c>
      <c r="B26" s="2" t="s">
        <v>15</v>
      </c>
      <c r="C26" s="2">
        <v>4</v>
      </c>
      <c r="D26" s="2">
        <v>13</v>
      </c>
    </row>
    <row r="27" spans="1:4">
      <c r="A27" s="2" t="s">
        <v>53</v>
      </c>
      <c r="B27" s="2" t="s">
        <v>15</v>
      </c>
      <c r="C27" s="2">
        <v>4</v>
      </c>
      <c r="D27" s="2">
        <v>11</v>
      </c>
    </row>
    <row r="28" spans="1:4">
      <c r="A28" s="2" t="s">
        <v>54</v>
      </c>
      <c r="B28" s="2" t="s">
        <v>15</v>
      </c>
      <c r="C28" s="2">
        <v>5</v>
      </c>
      <c r="D28" s="2">
        <v>13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AVERAGE(D22:D29)</f>
        <v>14</v>
      </c>
    </row>
    <row r="35" spans="1:4">
      <c r="A35" s="3" t="s">
        <v>27</v>
      </c>
      <c r="B35" s="3" t="s">
        <v>28</v>
      </c>
      <c r="C35" s="3">
        <v>3</v>
      </c>
      <c r="D35" s="3">
        <v>13</v>
      </c>
    </row>
    <row r="36" spans="1:4">
      <c r="A36" s="3" t="s">
        <v>29</v>
      </c>
      <c r="B36" s="3" t="s">
        <v>28</v>
      </c>
      <c r="C36" s="3">
        <v>4</v>
      </c>
      <c r="D36" s="3">
        <v>14</v>
      </c>
    </row>
    <row r="37" spans="1:4">
      <c r="A37" s="3" t="s">
        <v>55</v>
      </c>
      <c r="B37" s="3" t="s">
        <v>28</v>
      </c>
      <c r="C37" s="3">
        <v>4</v>
      </c>
      <c r="D37" s="3">
        <v>12</v>
      </c>
    </row>
    <row r="38" spans="1:4">
      <c r="A38" s="3" t="s">
        <v>30</v>
      </c>
      <c r="B38" s="3" t="s">
        <v>28</v>
      </c>
      <c r="C38" s="3">
        <v>4</v>
      </c>
      <c r="D38" s="3">
        <v>12</v>
      </c>
    </row>
    <row r="39" spans="1:4">
      <c r="A39" s="3" t="s">
        <v>31</v>
      </c>
      <c r="B39" s="3" t="s">
        <v>28</v>
      </c>
      <c r="C39" s="3">
        <v>5</v>
      </c>
      <c r="D39" s="3">
        <v>14</v>
      </c>
    </row>
    <row r="40" spans="1:4">
      <c r="A40" s="3" t="s">
        <v>33</v>
      </c>
      <c r="B40" s="3" t="s">
        <v>28</v>
      </c>
      <c r="C40" s="3">
        <v>6</v>
      </c>
      <c r="D40" s="3">
        <v>13</v>
      </c>
    </row>
    <row r="41" spans="1:4">
      <c r="A41" s="3" t="s">
        <v>35</v>
      </c>
      <c r="B41" s="3" t="s">
        <v>28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36</v>
      </c>
      <c r="C44" s="3"/>
      <c r="D44" s="3">
        <f>AVERAGE(D35:D41)</f>
        <v>13</v>
      </c>
    </row>
    <row r="47" spans="1:4">
      <c r="A47" t="s">
        <v>37</v>
      </c>
      <c r="D47">
        <f>AVERAGE(D2:D16,D22:D29,D35:D41)</f>
        <v>13.8666666666667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3" workbookViewId="0">
      <selection activeCell="C56" sqref="C56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15</v>
      </c>
    </row>
    <row r="3" spans="1:4">
      <c r="A3" s="1" t="s">
        <v>39</v>
      </c>
      <c r="B3" s="1" t="s">
        <v>5</v>
      </c>
      <c r="C3" s="1">
        <v>1</v>
      </c>
      <c r="D3" s="1">
        <v>14</v>
      </c>
    </row>
    <row r="4" spans="1:4">
      <c r="A4" s="1" t="s">
        <v>40</v>
      </c>
      <c r="B4" s="1" t="s">
        <v>5</v>
      </c>
      <c r="C4" s="1">
        <v>1</v>
      </c>
      <c r="D4" s="1">
        <v>13</v>
      </c>
    </row>
    <row r="5" spans="1:4">
      <c r="A5" s="1" t="s">
        <v>41</v>
      </c>
      <c r="B5" s="1" t="s">
        <v>5</v>
      </c>
      <c r="C5" s="1">
        <v>1</v>
      </c>
      <c r="D5" s="1">
        <v>13</v>
      </c>
    </row>
    <row r="6" spans="1:4">
      <c r="A6" s="1" t="s">
        <v>42</v>
      </c>
      <c r="B6" s="1" t="s">
        <v>5</v>
      </c>
      <c r="C6" s="1">
        <v>3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16</v>
      </c>
    </row>
    <row r="8" spans="1:4">
      <c r="A8" s="1" t="s">
        <v>9</v>
      </c>
      <c r="B8" s="1" t="s">
        <v>5</v>
      </c>
      <c r="C8" s="1">
        <v>3</v>
      </c>
      <c r="D8" s="1">
        <v>17</v>
      </c>
    </row>
    <row r="9" spans="1:4">
      <c r="A9" s="1" t="s">
        <v>43</v>
      </c>
      <c r="B9" s="1" t="s">
        <v>5</v>
      </c>
      <c r="C9" s="1">
        <v>3</v>
      </c>
      <c r="D9" s="1">
        <v>15</v>
      </c>
    </row>
    <row r="10" spans="1:4">
      <c r="A10" s="1" t="s">
        <v>43</v>
      </c>
      <c r="B10" s="1" t="s">
        <v>5</v>
      </c>
      <c r="C10" s="1">
        <v>3</v>
      </c>
      <c r="D10" s="1">
        <v>13</v>
      </c>
    </row>
    <row r="11" spans="1:4">
      <c r="A11" s="1" t="s">
        <v>44</v>
      </c>
      <c r="B11" s="1" t="s">
        <v>5</v>
      </c>
      <c r="C11" s="1">
        <v>3</v>
      </c>
      <c r="D11" s="1">
        <v>14</v>
      </c>
    </row>
    <row r="12" spans="1:4">
      <c r="A12" s="1" t="s">
        <v>45</v>
      </c>
      <c r="B12" s="1" t="s">
        <v>5</v>
      </c>
      <c r="C12" s="1">
        <v>3</v>
      </c>
      <c r="D12" s="1">
        <v>13</v>
      </c>
    </row>
    <row r="13" spans="1:4">
      <c r="A13" s="1" t="s">
        <v>47</v>
      </c>
      <c r="B13" s="1" t="s">
        <v>5</v>
      </c>
      <c r="C13" s="1">
        <v>4</v>
      </c>
      <c r="D13" s="1">
        <v>14</v>
      </c>
    </row>
    <row r="14" spans="1:4">
      <c r="A14" s="1" t="s">
        <v>11</v>
      </c>
      <c r="B14" s="1" t="s">
        <v>5</v>
      </c>
      <c r="C14" s="1">
        <v>5</v>
      </c>
      <c r="D14" s="1">
        <v>16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12</v>
      </c>
      <c r="B17" s="1" t="s">
        <v>13</v>
      </c>
      <c r="C17" s="1"/>
      <c r="D17" s="1">
        <f>AVERAGE(D2:D14)</f>
        <v>14.5384615384615</v>
      </c>
    </row>
    <row r="20" spans="1:4">
      <c r="A20" s="2" t="s">
        <v>14</v>
      </c>
      <c r="B20" s="2" t="s">
        <v>15</v>
      </c>
      <c r="C20" s="2">
        <v>2</v>
      </c>
      <c r="D20" s="2">
        <v>17</v>
      </c>
    </row>
    <row r="21" spans="1:4">
      <c r="A21" s="2" t="s">
        <v>18</v>
      </c>
      <c r="B21" s="2" t="s">
        <v>15</v>
      </c>
      <c r="C21" s="2">
        <v>3</v>
      </c>
      <c r="D21" s="2">
        <v>16</v>
      </c>
    </row>
    <row r="22" spans="1:4">
      <c r="A22" s="2" t="s">
        <v>49</v>
      </c>
      <c r="B22" s="2" t="s">
        <v>15</v>
      </c>
      <c r="C22" s="2">
        <v>3</v>
      </c>
      <c r="D22" s="2">
        <v>14</v>
      </c>
    </row>
    <row r="23" spans="1:4">
      <c r="A23" s="2" t="s">
        <v>50</v>
      </c>
      <c r="B23" s="2" t="s">
        <v>15</v>
      </c>
      <c r="C23" s="2">
        <v>3</v>
      </c>
      <c r="D23" s="2">
        <v>14</v>
      </c>
    </row>
    <row r="24" spans="1:4">
      <c r="A24" s="2" t="s">
        <v>51</v>
      </c>
      <c r="B24" s="2" t="s">
        <v>15</v>
      </c>
      <c r="C24" s="2">
        <v>3</v>
      </c>
      <c r="D24" s="2">
        <v>15</v>
      </c>
    </row>
    <row r="25" spans="1:4">
      <c r="A25" s="2" t="s">
        <v>52</v>
      </c>
      <c r="B25" s="2" t="s">
        <v>15</v>
      </c>
      <c r="C25" s="2">
        <v>4</v>
      </c>
      <c r="D25" s="2">
        <v>13</v>
      </c>
    </row>
    <row r="26" spans="1:4">
      <c r="A26" s="2" t="s">
        <v>21</v>
      </c>
      <c r="B26" s="2" t="s">
        <v>15</v>
      </c>
      <c r="C26" s="2">
        <v>4</v>
      </c>
      <c r="D26" s="2">
        <v>13</v>
      </c>
    </row>
    <row r="27" spans="1:4">
      <c r="A27" s="2" t="s">
        <v>56</v>
      </c>
      <c r="B27" s="2" t="s">
        <v>15</v>
      </c>
      <c r="C27" s="2">
        <v>5</v>
      </c>
      <c r="D27" s="2">
        <v>15</v>
      </c>
    </row>
    <row r="28" spans="1:4">
      <c r="A28" s="2" t="s">
        <v>54</v>
      </c>
      <c r="B28" s="2" t="s">
        <v>15</v>
      </c>
      <c r="C28" s="2">
        <v>5</v>
      </c>
      <c r="D28" s="2">
        <v>12</v>
      </c>
    </row>
    <row r="29" spans="1:4">
      <c r="A29" s="2" t="s">
        <v>24</v>
      </c>
      <c r="B29" s="2" t="s">
        <v>15</v>
      </c>
      <c r="C29" s="2">
        <v>6</v>
      </c>
      <c r="D29" s="2">
        <v>15</v>
      </c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26</v>
      </c>
      <c r="C32" s="2"/>
      <c r="D32" s="2">
        <f>AVERAGE(D20:D29)</f>
        <v>14.4</v>
      </c>
    </row>
    <row r="35" spans="1:4">
      <c r="A35" s="3" t="s">
        <v>27</v>
      </c>
      <c r="B35" s="3" t="s">
        <v>28</v>
      </c>
      <c r="C35" s="3">
        <v>3</v>
      </c>
      <c r="D35" s="3">
        <v>13</v>
      </c>
    </row>
    <row r="36" spans="1:4">
      <c r="A36" s="3" t="s">
        <v>29</v>
      </c>
      <c r="B36" s="3" t="s">
        <v>28</v>
      </c>
      <c r="C36" s="3">
        <v>4</v>
      </c>
      <c r="D36" s="3">
        <v>14</v>
      </c>
    </row>
    <row r="37" spans="1:4">
      <c r="A37" s="3" t="s">
        <v>55</v>
      </c>
      <c r="B37" s="3" t="s">
        <v>28</v>
      </c>
      <c r="C37" s="3">
        <v>4</v>
      </c>
      <c r="D37" s="3">
        <v>12</v>
      </c>
    </row>
    <row r="38" spans="1:4">
      <c r="A38" s="3" t="s">
        <v>30</v>
      </c>
      <c r="B38" s="3" t="s">
        <v>28</v>
      </c>
      <c r="C38" s="3">
        <v>4</v>
      </c>
      <c r="D38" s="3">
        <v>12</v>
      </c>
    </row>
    <row r="39" spans="1:4">
      <c r="A39" s="3" t="s">
        <v>31</v>
      </c>
      <c r="B39" s="3" t="s">
        <v>28</v>
      </c>
      <c r="C39" s="3">
        <v>5</v>
      </c>
      <c r="D39" s="3">
        <v>13</v>
      </c>
    </row>
    <row r="40" spans="1:4">
      <c r="A40" s="3" t="s">
        <v>33</v>
      </c>
      <c r="B40" s="3" t="s">
        <v>28</v>
      </c>
      <c r="C40" s="3">
        <v>6</v>
      </c>
      <c r="D40" s="3">
        <v>13</v>
      </c>
    </row>
    <row r="41" spans="1:4">
      <c r="A41" s="3" t="s">
        <v>35</v>
      </c>
      <c r="B41" s="3" t="s">
        <v>28</v>
      </c>
      <c r="C41" s="3">
        <v>8</v>
      </c>
      <c r="D41" s="3">
        <v>13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36</v>
      </c>
      <c r="C44" s="3"/>
      <c r="D44" s="3">
        <f>AVERAGE(D35:D41)</f>
        <v>12.8571428571429</v>
      </c>
    </row>
    <row r="47" spans="1:4">
      <c r="A47" t="s">
        <v>37</v>
      </c>
      <c r="D47">
        <f>AVERAGE(D2:D14,D20:D29,D35:D41)</f>
        <v>14.1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opLeftCell="A4" workbookViewId="0">
      <selection activeCell="H26" sqref="H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15</v>
      </c>
    </row>
    <row r="3" spans="1:3">
      <c r="A3" s="1" t="s">
        <v>7</v>
      </c>
      <c r="B3" s="1">
        <v>2</v>
      </c>
      <c r="C3" s="1">
        <v>16</v>
      </c>
    </row>
    <row r="4" spans="1:3">
      <c r="A4" s="1" t="s">
        <v>9</v>
      </c>
      <c r="B4" s="1">
        <v>3</v>
      </c>
      <c r="C4" s="1">
        <v>17</v>
      </c>
    </row>
    <row r="5" spans="1:3">
      <c r="A5" s="1" t="s">
        <v>10</v>
      </c>
      <c r="B5" s="1">
        <v>3</v>
      </c>
      <c r="C5" s="1">
        <v>16</v>
      </c>
    </row>
    <row r="6" spans="1:3">
      <c r="A6" s="1" t="s">
        <v>11</v>
      </c>
      <c r="B6" s="1">
        <v>5</v>
      </c>
      <c r="C6" s="1">
        <v>16</v>
      </c>
    </row>
    <row r="7" spans="1:3">
      <c r="A7" s="1" t="s">
        <v>11</v>
      </c>
      <c r="B7" s="1">
        <v>5</v>
      </c>
      <c r="C7" s="1">
        <v>15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15.8333333333333</v>
      </c>
      <c r="D10" s="2"/>
    </row>
    <row r="13" spans="1:3">
      <c r="A13" s="2" t="s">
        <v>14</v>
      </c>
      <c r="B13" s="2">
        <v>2</v>
      </c>
      <c r="C13" s="2">
        <v>17</v>
      </c>
    </row>
    <row r="14" spans="1:3">
      <c r="A14" s="2" t="s">
        <v>18</v>
      </c>
      <c r="B14" s="2">
        <v>3</v>
      </c>
      <c r="C14" s="2">
        <v>16</v>
      </c>
    </row>
    <row r="15" spans="1:3">
      <c r="A15" s="2" t="s">
        <v>21</v>
      </c>
      <c r="B15" s="2">
        <v>4</v>
      </c>
      <c r="C15" s="2">
        <v>13</v>
      </c>
    </row>
    <row r="16" spans="1:3">
      <c r="A16" s="2" t="s">
        <v>24</v>
      </c>
      <c r="B16" s="2">
        <v>6</v>
      </c>
      <c r="C16" s="2">
        <v>15</v>
      </c>
    </row>
    <row r="17" spans="1:3">
      <c r="A17" s="2" t="s">
        <v>23</v>
      </c>
      <c r="B17" s="2">
        <v>6</v>
      </c>
      <c r="C17" s="2">
        <v>14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12</v>
      </c>
      <c r="B20" s="2" t="s">
        <v>26</v>
      </c>
      <c r="C20" s="2">
        <f>AVERAGE(C13:C17)</f>
        <v>15</v>
      </c>
    </row>
    <row r="23" spans="1:3">
      <c r="A23" s="3" t="s">
        <v>57</v>
      </c>
      <c r="B23" s="3">
        <v>1</v>
      </c>
      <c r="C23" s="3">
        <v>13</v>
      </c>
    </row>
    <row r="24" spans="1:3">
      <c r="A24" s="3" t="s">
        <v>58</v>
      </c>
      <c r="B24" s="3">
        <v>2</v>
      </c>
      <c r="C24" s="3">
        <v>14</v>
      </c>
    </row>
    <row r="25" spans="1:3">
      <c r="A25" s="3" t="s">
        <v>59</v>
      </c>
      <c r="B25" s="3">
        <v>2</v>
      </c>
      <c r="C25" s="3">
        <v>12</v>
      </c>
    </row>
    <row r="26" spans="1:3">
      <c r="A26" s="3" t="s">
        <v>60</v>
      </c>
      <c r="B26" s="3">
        <v>2</v>
      </c>
      <c r="C26" s="3">
        <v>14</v>
      </c>
    </row>
    <row r="27" spans="1:3">
      <c r="A27" s="3" t="s">
        <v>61</v>
      </c>
      <c r="B27" s="3">
        <v>2</v>
      </c>
      <c r="C27" s="3">
        <v>13</v>
      </c>
    </row>
    <row r="28" spans="1:3">
      <c r="A28" s="3" t="s">
        <v>62</v>
      </c>
      <c r="B28" s="3">
        <v>5</v>
      </c>
      <c r="C28" s="3">
        <v>13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12</v>
      </c>
      <c r="B31" s="3" t="s">
        <v>13</v>
      </c>
      <c r="C31" s="3">
        <f>AVERAGE(C23:C28)</f>
        <v>13.1666666666667</v>
      </c>
    </row>
    <row r="34" spans="1:3">
      <c r="A34" s="5" t="s">
        <v>37</v>
      </c>
      <c r="B34" s="5" t="s">
        <v>63</v>
      </c>
      <c r="C34" s="5">
        <f>AVERAGE(C2:C7,C13:C17,C23:C28)</f>
        <v>14.6470588235294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B25" sqref="B25"/>
    </sheetView>
  </sheetViews>
  <sheetFormatPr defaultColWidth="9" defaultRowHeight="13.5" outlineLevelCol="2"/>
  <cols>
    <col min="1" max="1" width="17.125" customWidth="1"/>
    <col min="2" max="2" width="10.25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38</v>
      </c>
      <c r="B2" s="1">
        <v>1</v>
      </c>
      <c r="C2" s="1">
        <v>16</v>
      </c>
    </row>
    <row r="3" spans="1:3">
      <c r="A3" s="1" t="s">
        <v>38</v>
      </c>
      <c r="B3" s="1">
        <v>1</v>
      </c>
      <c r="C3" s="1">
        <v>16</v>
      </c>
    </row>
    <row r="4" spans="1:3">
      <c r="A4" s="1" t="s">
        <v>8</v>
      </c>
      <c r="B4" s="1">
        <v>5</v>
      </c>
      <c r="C4" s="1">
        <v>13</v>
      </c>
    </row>
    <row r="5" spans="1:3">
      <c r="A5" s="1" t="s">
        <v>8</v>
      </c>
      <c r="B5" s="1">
        <v>5</v>
      </c>
      <c r="C5" s="1">
        <v>13</v>
      </c>
    </row>
    <row r="6" spans="1:3">
      <c r="A6" s="1"/>
      <c r="B6" s="1"/>
      <c r="C6" s="1"/>
    </row>
    <row r="7" spans="1:3">
      <c r="A7" s="1"/>
      <c r="B7" s="1"/>
      <c r="C7" s="1"/>
    </row>
    <row r="8" spans="1:3">
      <c r="A8" s="1" t="s">
        <v>12</v>
      </c>
      <c r="B8" s="1" t="s">
        <v>13</v>
      </c>
      <c r="C8" s="1">
        <f>AVERAGE(C2:C5)</f>
        <v>14.5</v>
      </c>
    </row>
    <row r="11" spans="1:3">
      <c r="A11" s="2" t="s">
        <v>17</v>
      </c>
      <c r="B11" s="2">
        <v>2</v>
      </c>
      <c r="C11" s="2">
        <v>14</v>
      </c>
    </row>
    <row r="12" spans="1:3">
      <c r="A12" s="2" t="s">
        <v>16</v>
      </c>
      <c r="B12" s="2">
        <v>2</v>
      </c>
      <c r="C12" s="2">
        <v>13</v>
      </c>
    </row>
    <row r="13" spans="1:3">
      <c r="A13" s="2" t="s">
        <v>16</v>
      </c>
      <c r="B13" s="2">
        <v>2</v>
      </c>
      <c r="C13" s="2">
        <v>12</v>
      </c>
    </row>
    <row r="14" spans="1:3">
      <c r="A14" s="2" t="s">
        <v>19</v>
      </c>
      <c r="B14" s="2">
        <v>3</v>
      </c>
      <c r="C14" s="2">
        <v>16</v>
      </c>
    </row>
    <row r="15" spans="1:3">
      <c r="A15" s="2" t="s">
        <v>19</v>
      </c>
      <c r="B15" s="2">
        <v>3</v>
      </c>
      <c r="C15" s="2">
        <v>14</v>
      </c>
    </row>
    <row r="16" spans="1:3">
      <c r="A16" s="2" t="s">
        <v>20</v>
      </c>
      <c r="B16" s="2">
        <v>4</v>
      </c>
      <c r="C16" s="2">
        <v>15</v>
      </c>
    </row>
    <row r="17" spans="1:3">
      <c r="A17" s="2" t="s">
        <v>22</v>
      </c>
      <c r="B17" s="2">
        <v>5</v>
      </c>
      <c r="C17" s="2">
        <v>12</v>
      </c>
    </row>
    <row r="18" spans="1:3">
      <c r="A18" s="2" t="s">
        <v>22</v>
      </c>
      <c r="B18" s="2">
        <v>5</v>
      </c>
      <c r="C18" s="2">
        <v>11</v>
      </c>
    </row>
    <row r="19" spans="1:3">
      <c r="A19" s="2" t="s">
        <v>25</v>
      </c>
      <c r="B19" s="2">
        <v>7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26</v>
      </c>
      <c r="C22" s="2">
        <f>AVERAGE(C11:C19)</f>
        <v>13.4444444444444</v>
      </c>
    </row>
    <row r="25" spans="1:3">
      <c r="A25" s="3" t="s">
        <v>64</v>
      </c>
      <c r="B25" s="3">
        <v>1</v>
      </c>
      <c r="C25" s="3">
        <v>12</v>
      </c>
    </row>
    <row r="26" spans="1:3">
      <c r="A26" s="3" t="s">
        <v>65</v>
      </c>
      <c r="B26" s="3">
        <v>7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13</v>
      </c>
      <c r="C29" s="3">
        <f>AVERAGE(C25:C26)</f>
        <v>12</v>
      </c>
    </row>
    <row r="32" spans="1:3">
      <c r="A32" s="5" t="s">
        <v>37</v>
      </c>
      <c r="B32" s="5" t="s">
        <v>63</v>
      </c>
      <c r="C32" s="5">
        <f>AVERAGE(C2:C5,C11:C19,C25:C26)</f>
        <v>13.5333333333333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abSelected="1" workbookViewId="0">
      <selection activeCell="A11" sqref="A11"/>
    </sheetView>
  </sheetViews>
  <sheetFormatPr defaultColWidth="9" defaultRowHeight="13.5" outlineLevelCol="2"/>
  <cols>
    <col min="1" max="1" width="13.75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39</v>
      </c>
      <c r="B2" s="1">
        <v>1</v>
      </c>
      <c r="C2" s="1">
        <v>15</v>
      </c>
    </row>
    <row r="3" spans="1:3">
      <c r="A3" s="1" t="s">
        <v>66</v>
      </c>
      <c r="B3" s="1">
        <v>1</v>
      </c>
      <c r="C3" s="1">
        <v>16</v>
      </c>
    </row>
    <row r="4" spans="1:3">
      <c r="A4" s="1" t="s">
        <v>66</v>
      </c>
      <c r="B4" s="1">
        <v>1</v>
      </c>
      <c r="C4" s="1">
        <v>10</v>
      </c>
    </row>
    <row r="5" spans="1:3">
      <c r="A5" s="1" t="s">
        <v>67</v>
      </c>
      <c r="B5" s="1">
        <v>2</v>
      </c>
      <c r="C5" s="1">
        <v>15</v>
      </c>
    </row>
    <row r="6" spans="1:3">
      <c r="A6" s="1" t="s">
        <v>68</v>
      </c>
      <c r="B6" s="1">
        <v>2</v>
      </c>
      <c r="C6" s="1">
        <v>15</v>
      </c>
    </row>
    <row r="7" spans="1:3">
      <c r="A7" s="1" t="s">
        <v>69</v>
      </c>
      <c r="B7" s="1">
        <v>2</v>
      </c>
      <c r="C7" s="1">
        <v>13</v>
      </c>
    </row>
    <row r="8" spans="1:3">
      <c r="A8" s="1" t="s">
        <v>70</v>
      </c>
      <c r="B8" s="1">
        <v>3</v>
      </c>
      <c r="C8" s="1">
        <v>16</v>
      </c>
    </row>
    <row r="9" spans="1:3">
      <c r="A9" s="1" t="s">
        <v>43</v>
      </c>
      <c r="B9" s="1">
        <v>3</v>
      </c>
      <c r="C9" s="1">
        <v>15</v>
      </c>
    </row>
    <row r="10" spans="1:3">
      <c r="A10" s="1" t="s">
        <v>45</v>
      </c>
      <c r="B10" s="1">
        <v>3</v>
      </c>
      <c r="C10" s="1">
        <v>14</v>
      </c>
    </row>
    <row r="11" spans="1:3">
      <c r="A11" s="1" t="s">
        <v>71</v>
      </c>
      <c r="B11" s="1">
        <v>3</v>
      </c>
      <c r="C11" s="1">
        <v>13</v>
      </c>
    </row>
    <row r="12" spans="1:3">
      <c r="A12" s="1" t="s">
        <v>72</v>
      </c>
      <c r="B12" s="1">
        <v>4</v>
      </c>
      <c r="C12" s="1">
        <v>15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14.2727272727273</v>
      </c>
    </row>
    <row r="18" spans="1:3">
      <c r="A18" s="2" t="s">
        <v>50</v>
      </c>
      <c r="B18" s="2">
        <v>3</v>
      </c>
      <c r="C18" s="2">
        <v>15</v>
      </c>
    </row>
    <row r="19" spans="1:3">
      <c r="A19" s="2" t="s">
        <v>73</v>
      </c>
      <c r="B19" s="2">
        <v>3</v>
      </c>
      <c r="C19" s="2">
        <v>14</v>
      </c>
    </row>
    <row r="20" spans="1:3">
      <c r="A20" s="2" t="s">
        <v>52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26</v>
      </c>
      <c r="C23" s="2">
        <f>AVERAGE(C18:C20)</f>
        <v>14.3333333333333</v>
      </c>
    </row>
    <row r="26" spans="1:3">
      <c r="A26" s="3" t="s">
        <v>74</v>
      </c>
      <c r="B26" s="3">
        <v>4</v>
      </c>
      <c r="C26" s="3">
        <v>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13</v>
      </c>
      <c r="C29" s="3">
        <f>AVERAGE(C26:C26)</f>
        <v>6</v>
      </c>
    </row>
    <row r="32" spans="1:3">
      <c r="A32" s="5" t="s">
        <v>37</v>
      </c>
      <c r="B32" s="5" t="s">
        <v>63</v>
      </c>
      <c r="C32" s="5">
        <f>AVERAGE(C2:C12,C18:C20,C26:C26)</f>
        <v>13.7333333333333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F33"/>
  <sheetViews>
    <sheetView topLeftCell="D1" workbookViewId="0">
      <selection activeCell="J33" sqref="J33"/>
    </sheetView>
  </sheetViews>
  <sheetFormatPr defaultColWidth="9" defaultRowHeight="13.5" outlineLevelCol="5"/>
  <cols>
    <col min="4" max="4" width="13.125" customWidth="1"/>
    <col min="5" max="5" width="11.25" customWidth="1"/>
    <col min="6" max="6" width="10.625" customWidth="1"/>
  </cols>
  <sheetData>
    <row r="1" spans="4:6">
      <c r="D1" t="s">
        <v>0</v>
      </c>
      <c r="E1" t="s">
        <v>2</v>
      </c>
      <c r="F1" t="s">
        <v>3</v>
      </c>
    </row>
    <row r="2" spans="4:6">
      <c r="D2" s="1" t="s">
        <v>75</v>
      </c>
      <c r="E2" s="1">
        <v>1</v>
      </c>
      <c r="F2" s="1">
        <v>16</v>
      </c>
    </row>
    <row r="3" spans="4:6">
      <c r="D3" s="1" t="s">
        <v>76</v>
      </c>
      <c r="E3" s="1">
        <v>1</v>
      </c>
      <c r="F3" s="1">
        <v>14</v>
      </c>
    </row>
    <row r="4" spans="4:6">
      <c r="D4" s="1" t="s">
        <v>77</v>
      </c>
      <c r="E4" s="1">
        <v>2</v>
      </c>
      <c r="F4" s="1">
        <v>13</v>
      </c>
    </row>
    <row r="5" spans="4:6">
      <c r="D5" s="1" t="s">
        <v>77</v>
      </c>
      <c r="E5" s="1">
        <v>2</v>
      </c>
      <c r="F5" s="1">
        <v>12</v>
      </c>
    </row>
    <row r="6" spans="4:6">
      <c r="D6" s="1" t="s">
        <v>78</v>
      </c>
      <c r="E6" s="1">
        <v>2</v>
      </c>
      <c r="F6" s="1">
        <v>13</v>
      </c>
    </row>
    <row r="7" spans="4:6">
      <c r="D7" s="1" t="s">
        <v>79</v>
      </c>
      <c r="E7" s="1">
        <v>4</v>
      </c>
      <c r="F7" s="1">
        <v>13</v>
      </c>
    </row>
    <row r="8" spans="4:6">
      <c r="D8" s="1"/>
      <c r="E8" s="1"/>
      <c r="F8" s="1"/>
    </row>
    <row r="9" spans="4:6">
      <c r="D9" s="1"/>
      <c r="E9" s="1"/>
      <c r="F9" s="1"/>
    </row>
    <row r="10" spans="4:6">
      <c r="D10" s="1" t="s">
        <v>12</v>
      </c>
      <c r="E10" s="1" t="s">
        <v>13</v>
      </c>
      <c r="F10" s="1">
        <f>AVERAGE(F2:F7)</f>
        <v>13.5</v>
      </c>
    </row>
    <row r="13" spans="4:6">
      <c r="D13" s="2" t="s">
        <v>80</v>
      </c>
      <c r="E13" s="2">
        <v>2</v>
      </c>
      <c r="F13" s="2">
        <v>13</v>
      </c>
    </row>
    <row r="14" spans="4:6">
      <c r="D14" s="2" t="s">
        <v>81</v>
      </c>
      <c r="E14" s="2">
        <v>2</v>
      </c>
      <c r="F14" s="2">
        <v>12</v>
      </c>
    </row>
    <row r="15" spans="4:6">
      <c r="D15" s="2" t="s">
        <v>82</v>
      </c>
      <c r="E15" s="2">
        <v>3</v>
      </c>
      <c r="F15" s="2">
        <v>12</v>
      </c>
    </row>
    <row r="16" spans="4:6">
      <c r="D16" s="2" t="s">
        <v>83</v>
      </c>
      <c r="E16" s="2">
        <v>3</v>
      </c>
      <c r="F16" s="2">
        <v>12</v>
      </c>
    </row>
    <row r="17" spans="4:6">
      <c r="D17" s="2" t="s">
        <v>84</v>
      </c>
      <c r="E17" s="2">
        <v>4</v>
      </c>
      <c r="F17" s="2">
        <v>12</v>
      </c>
    </row>
    <row r="18" spans="4:6">
      <c r="D18" s="2" t="s">
        <v>85</v>
      </c>
      <c r="E18" s="2">
        <v>5</v>
      </c>
      <c r="F18" s="2">
        <v>13</v>
      </c>
    </row>
    <row r="19" spans="4:6">
      <c r="D19" s="2" t="s">
        <v>86</v>
      </c>
      <c r="E19" s="2">
        <v>5</v>
      </c>
      <c r="F19" s="2">
        <v>12</v>
      </c>
    </row>
    <row r="20" spans="4:6">
      <c r="D20" s="2" t="s">
        <v>87</v>
      </c>
      <c r="E20" s="2">
        <v>6</v>
      </c>
      <c r="F20" s="2">
        <v>12</v>
      </c>
    </row>
    <row r="21" spans="4:6">
      <c r="D21" s="2"/>
      <c r="E21" s="2"/>
      <c r="F21" s="2"/>
    </row>
    <row r="22" spans="4:6">
      <c r="D22" s="2"/>
      <c r="E22" s="2"/>
      <c r="F22" s="2"/>
    </row>
    <row r="23" spans="4:6">
      <c r="D23" s="2" t="s">
        <v>12</v>
      </c>
      <c r="E23" s="2" t="s">
        <v>26</v>
      </c>
      <c r="F23" s="2">
        <f>AVERAGE(F13:F20)</f>
        <v>12.25</v>
      </c>
    </row>
    <row r="26" spans="4:6">
      <c r="D26" s="3" t="s">
        <v>88</v>
      </c>
      <c r="E26" s="4">
        <v>2</v>
      </c>
      <c r="F26" s="4">
        <v>5</v>
      </c>
    </row>
    <row r="27" spans="4:6">
      <c r="D27" s="3" t="s">
        <v>88</v>
      </c>
      <c r="E27" s="3">
        <v>2</v>
      </c>
      <c r="F27" s="3">
        <v>11</v>
      </c>
    </row>
    <row r="28" spans="4:6">
      <c r="D28" s="3"/>
      <c r="E28" s="3"/>
      <c r="F28" s="3"/>
    </row>
    <row r="29" spans="4:6">
      <c r="D29" s="3"/>
      <c r="E29" s="3"/>
      <c r="F29" s="3"/>
    </row>
    <row r="30" spans="4:6">
      <c r="D30" s="3" t="s">
        <v>12</v>
      </c>
      <c r="E30" s="3" t="s">
        <v>89</v>
      </c>
      <c r="F30" s="3">
        <f>AVERAGE(F26,F27)</f>
        <v>8</v>
      </c>
    </row>
    <row r="33" spans="4:6">
      <c r="D33" s="5" t="s">
        <v>37</v>
      </c>
      <c r="E33" s="5" t="s">
        <v>63</v>
      </c>
      <c r="F33" s="5">
        <f>AVERAGE(F2,F3,F4,F5,F6,F7,F13:F20,F26:F27)</f>
        <v>12.1875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伊萝莲</vt:lpstr>
      <vt:lpstr>阿斯塔拉</vt:lpstr>
      <vt:lpstr>梅</vt:lpstr>
      <vt:lpstr>白处尊</vt:lpstr>
      <vt:lpstr>帝国</vt:lpstr>
      <vt:lpstr>隐秘</vt:lpstr>
      <vt:lpstr>禅意</vt:lpstr>
      <vt:lpstr>炼狱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2025-04-07T02:43:05Z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2052-11.8.2.8411</vt:lpwstr>
  </property>
  <property fmtid="{D5CDD505-2E9C-101B-9397-08002B2CF9AE}" pid="3" name="ICV">
    <vt:lpwstr>7A502FD22F60457D978295AB1C574183_12</vt:lpwstr>
  </property>
</Properties>
</file>