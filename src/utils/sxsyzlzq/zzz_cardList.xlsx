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835" windowHeight="10020" activeTab="3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<sst xmlns="http://schemas.openxmlformats.org/spreadsheetml/2006/main" count="1315" uniqueCount="484">
  <si>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</si>
  <si>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</si>
  <si>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</si>
  <si>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</si>
  <si>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</si>
  <si>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</si>
  <si>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</si>
  <si>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</si>
  <si>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</si>
  <si>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</si>
  <si>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</si>
  <si>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</si>
  <si>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</si>
  <si>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</si>
  <si>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</si>
  <si>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</si>
  <si>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</si>
  <si>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</si>
  <si>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</si>
  <si>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</si>
  <si>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</si>
  <si>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</si>
  <si>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</si>
  <si>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</si>
  <si>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</si>
  <si>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</si>
  <si>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</si>
  <si>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</si>
  <si>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</si>
  <si>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</si>
  <si>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</si>
  <si>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观星台大预言家</t>
  </si>
  <si>
    <t>米拉方舟</t>
  </si>
  <si>
    <t>鬼童-7号</t>
  </si>
  <si>
    <t>No.2时光·米拉</t>
  </si>
  <si>
    <t>隐秘卡等：</t>
  </si>
  <si>
    <t>心灵黑洞</t>
  </si>
  <si>
    <t>狡诈学徒</t>
  </si>
  <si>
    <t>黑夜突袭</t>
  </si>
  <si>
    <t>黑金勒索者</t>
  </si>
  <si>
    <t>酗酒醉汉</t>
  </si>
  <si>
    <t>热血矿工</t>
  </si>
  <si>
    <t>不法交易</t>
  </si>
  <si>
    <t>红海猎魔人</t>
  </si>
  <si>
    <t>走私狂徒</t>
  </si>
  <si>
    <t>海神赐福</t>
  </si>
  <si>
    <t>黑金诈术师</t>
  </si>
  <si>
    <t>赤影·艾希尔</t>
  </si>
  <si>
    <t>禅意卡等：</t>
  </si>
  <si>
    <t>飓风术</t>
  </si>
  <si>
    <t>太极剑法</t>
  </si>
  <si>
    <t>连击</t>
  </si>
  <si>
    <t>铁山靠</t>
  </si>
  <si>
    <t>风铃道人</t>
  </si>
  <si>
    <t>风卷残云</t>
  </si>
  <si>
    <t>蟠桃会</t>
  </si>
  <si>
    <t>神机玄女·轩</t>
  </si>
  <si>
    <t>悟能禅杖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</si>
  <si>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</si>
  <si>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</si>
  <si>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</si>
  <si>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</si>
  <si>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</si>
  <si>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</si>
  <si>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</si>
  <si>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</si>
  <si>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占卜命运</t>
  </si>
  <si>
    <t>快乐使者</t>
  </si>
  <si>
    <t>先发制人</t>
  </si>
  <si>
    <t>学仆-猛禽型</t>
  </si>
  <si>
    <t>黑水伏击</t>
  </si>
  <si>
    <t>长耳庄巧姑</t>
  </si>
  <si>
    <t>墨轩隐士</t>
  </si>
  <si>
    <t>万物之灵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</si>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</sst>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D26" sqref="D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21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21</v>
      </c>
    </row>
    <row r="7" spans="1:3">
      <c r="A7" s="1" t="s">
        <v>8</v>
      </c>
      <c r="B7" s="1">
        <v>5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21.6666666666667</v>
      </c>
      <c r="D10" s="2"/>
    </row>
    <row r="13" spans="1:3">
      <c r="A13" s="2" t="s">
        <v>11</v>
      </c>
      <c r="B13" s="2">
        <v>1</v>
      </c>
      <c r="C13" s="2">
        <v>17</v>
      </c>
    </row>
    <row r="14" spans="1:3">
      <c r="A14" s="2" t="s">
        <v>12</v>
      </c>
      <c r="B14" s="2">
        <v>2</v>
      </c>
      <c r="C14" s="2">
        <v>21</v>
      </c>
    </row>
    <row r="15" spans="1:3">
      <c r="A15" s="2" t="s">
        <v>13</v>
      </c>
      <c r="B15" s="2">
        <v>4</v>
      </c>
      <c r="C15" s="2">
        <v>12</v>
      </c>
    </row>
    <row r="16" spans="1:3">
      <c r="A16" s="2" t="s">
        <v>14</v>
      </c>
      <c r="B16" s="2">
        <v>6</v>
      </c>
      <c r="C16" s="2">
        <v>18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9</v>
      </c>
      <c r="B19" s="2" t="s">
        <v>15</v>
      </c>
      <c r="C19" s="2">
        <f>AVERAGE(C13:C16)</f>
        <v>17</v>
      </c>
    </row>
    <row r="22" spans="1:3">
      <c r="A22" s="3" t="s">
        <v>16</v>
      </c>
      <c r="B22" s="3">
        <v>3</v>
      </c>
      <c r="C22" s="3">
        <v>19</v>
      </c>
    </row>
    <row r="23" spans="1:3">
      <c r="A23" s="3" t="s">
        <v>17</v>
      </c>
      <c r="B23" s="3">
        <v>4</v>
      </c>
      <c r="C23" s="3">
        <v>17</v>
      </c>
    </row>
    <row r="24" spans="1:3">
      <c r="A24" s="3" t="s">
        <v>18</v>
      </c>
      <c r="B24" s="3">
        <v>4</v>
      </c>
      <c r="C24" s="3">
        <v>18</v>
      </c>
    </row>
    <row r="25" spans="1:3">
      <c r="A25" s="3" t="s">
        <v>19</v>
      </c>
      <c r="B25" s="3">
        <v>6</v>
      </c>
      <c r="C25" s="3">
        <v>20</v>
      </c>
    </row>
    <row r="26" spans="1:3">
      <c r="A26" s="3" t="s">
        <v>20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AVERAGE(C22:C26)</f>
        <v>17.2</v>
      </c>
    </row>
    <row r="32" spans="1:3">
      <c r="A32" s="4" t="s">
        <v>22</v>
      </c>
      <c r="B32" s="4" t="s">
        <v>23</v>
      </c>
      <c r="C32" s="4">
        <f>AVERAGE(C2:C7,C13:C16,C22:C26)</f>
        <v>18.9333333333333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C7" sqref="C7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14</v>
      </c>
    </row>
    <row r="3" spans="1:3">
      <c r="A3" s="1" t="s">
        <v>25</v>
      </c>
      <c r="B3" s="1">
        <v>2</v>
      </c>
      <c r="C3" s="1">
        <v>22</v>
      </c>
    </row>
    <row r="4" spans="1:3">
      <c r="A4" s="1" t="s">
        <v>25</v>
      </c>
      <c r="B4" s="1">
        <v>2</v>
      </c>
      <c r="C4" s="1">
        <v>22</v>
      </c>
    </row>
    <row r="5" spans="1:3">
      <c r="A5" s="1" t="s">
        <v>26</v>
      </c>
      <c r="B5" s="1">
        <v>2</v>
      </c>
      <c r="C5" s="1">
        <v>18</v>
      </c>
    </row>
    <row r="6" spans="1:3">
      <c r="A6" s="1" t="s">
        <v>26</v>
      </c>
      <c r="B6" s="1">
        <v>2</v>
      </c>
      <c r="C6" s="1">
        <v>13</v>
      </c>
    </row>
    <row r="7" spans="1:3">
      <c r="A7" s="1" t="s">
        <v>27</v>
      </c>
      <c r="B7" s="1">
        <v>3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18.5</v>
      </c>
    </row>
    <row r="13" spans="1:3">
      <c r="A13" s="2" t="s">
        <v>28</v>
      </c>
      <c r="B13" s="2">
        <v>2</v>
      </c>
      <c r="C13" s="2">
        <v>20</v>
      </c>
    </row>
    <row r="14" spans="1:3">
      <c r="A14" s="2" t="s">
        <v>29</v>
      </c>
      <c r="B14" s="2">
        <v>2</v>
      </c>
      <c r="C14" s="2">
        <v>15</v>
      </c>
    </row>
    <row r="15" spans="1:3">
      <c r="A15" s="2" t="s">
        <v>29</v>
      </c>
      <c r="B15" s="2">
        <v>2</v>
      </c>
      <c r="C15" s="2">
        <v>14</v>
      </c>
    </row>
    <row r="16" spans="1:3">
      <c r="A16" s="2" t="s">
        <v>30</v>
      </c>
      <c r="B16" s="2">
        <v>3</v>
      </c>
      <c r="C16" s="2">
        <v>22</v>
      </c>
    </row>
    <row r="17" spans="1:3">
      <c r="A17" s="2" t="s">
        <v>30</v>
      </c>
      <c r="B17" s="2">
        <v>3</v>
      </c>
      <c r="C17" s="2">
        <v>22</v>
      </c>
    </row>
    <row r="18" spans="1:3">
      <c r="A18" s="2" t="s">
        <v>30</v>
      </c>
      <c r="B18" s="2">
        <v>3</v>
      </c>
      <c r="C18" s="2">
        <v>20</v>
      </c>
    </row>
    <row r="19" spans="1:3">
      <c r="A19" s="2" t="s">
        <v>31</v>
      </c>
      <c r="B19" s="2">
        <v>5</v>
      </c>
      <c r="C19" s="2">
        <v>16</v>
      </c>
    </row>
    <row r="20" spans="1:3">
      <c r="A20" s="2" t="s">
        <v>32</v>
      </c>
      <c r="B20" s="2">
        <v>7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AVERAGE(C13:C20)</f>
        <v>18.625</v>
      </c>
    </row>
    <row r="26" spans="1:3">
      <c r="A26" s="3" t="s">
        <v>33</v>
      </c>
      <c r="B26" s="3">
        <v>4</v>
      </c>
      <c r="C26" s="3">
        <v>21</v>
      </c>
    </row>
    <row r="27" spans="1:3">
      <c r="A27" s="3" t="s">
        <v>34</v>
      </c>
      <c r="B27" s="3">
        <v>5</v>
      </c>
      <c r="C27" s="3">
        <v>18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10</v>
      </c>
      <c r="C30" s="3">
        <f>AVERAGE(C26:C27)</f>
        <v>19.5</v>
      </c>
    </row>
    <row r="33" spans="1:3">
      <c r="A33" s="4" t="s">
        <v>22</v>
      </c>
      <c r="B33" s="4" t="s">
        <v>35</v>
      </c>
      <c r="C33" s="4">
        <f>AVERAGE(C2:C7,C13:C20,C26:C27)</f>
        <v>18.6875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7" workbookViewId="0">
      <selection activeCell="C10" sqref="C1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1</v>
      </c>
      <c r="C2" s="1">
        <v>14</v>
      </c>
    </row>
    <row r="3" spans="1:3">
      <c r="A3" s="1" t="s">
        <v>36</v>
      </c>
      <c r="B3" s="1">
        <v>1</v>
      </c>
      <c r="C3" s="1">
        <v>13</v>
      </c>
    </row>
    <row r="4" spans="1:3">
      <c r="A4" s="1" t="s">
        <v>36</v>
      </c>
      <c r="B4" s="1">
        <v>1</v>
      </c>
      <c r="C4" s="1">
        <v>13</v>
      </c>
    </row>
    <row r="5" spans="1:3">
      <c r="A5" s="1" t="s">
        <v>37</v>
      </c>
      <c r="B5" s="1">
        <v>2</v>
      </c>
      <c r="C5" s="1">
        <v>20</v>
      </c>
    </row>
    <row r="6" spans="1:3">
      <c r="A6" s="1" t="s">
        <v>38</v>
      </c>
      <c r="B6" s="1">
        <v>2</v>
      </c>
      <c r="C6" s="1">
        <v>20</v>
      </c>
    </row>
    <row r="7" spans="1:3">
      <c r="A7" s="1" t="s">
        <v>39</v>
      </c>
      <c r="B7" s="1">
        <v>2</v>
      </c>
      <c r="C7" s="1">
        <v>13</v>
      </c>
    </row>
    <row r="8" spans="1:3">
      <c r="A8" s="1" t="s">
        <v>40</v>
      </c>
      <c r="B8" s="1">
        <v>3</v>
      </c>
      <c r="C8" s="1">
        <v>18</v>
      </c>
    </row>
    <row r="9" spans="1:3">
      <c r="A9" s="1" t="s">
        <v>41</v>
      </c>
      <c r="B9" s="1">
        <v>3</v>
      </c>
      <c r="C9" s="1">
        <v>17</v>
      </c>
    </row>
    <row r="10" spans="1:3">
      <c r="A10" s="1" t="s">
        <v>42</v>
      </c>
      <c r="B10" s="1">
        <v>3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9</v>
      </c>
      <c r="B13" s="1" t="s">
        <v>10</v>
      </c>
      <c r="C13" s="1">
        <f>AVERAGE(C2:C10)</f>
        <v>16</v>
      </c>
    </row>
    <row r="16" spans="1:3">
      <c r="A16" s="2" t="s">
        <v>43</v>
      </c>
      <c r="B16" s="2">
        <v>2</v>
      </c>
      <c r="C16" s="2">
        <v>19</v>
      </c>
    </row>
    <row r="17" spans="1:3">
      <c r="A17" s="2" t="s">
        <v>44</v>
      </c>
      <c r="B17" s="2">
        <v>2</v>
      </c>
      <c r="C17" s="2">
        <v>16</v>
      </c>
    </row>
    <row r="18" spans="1:3">
      <c r="A18" s="2" t="s">
        <v>45</v>
      </c>
      <c r="B18" s="2">
        <v>2</v>
      </c>
      <c r="C18" s="2">
        <v>12</v>
      </c>
    </row>
    <row r="19" spans="1:3">
      <c r="A19" s="2" t="s">
        <v>45</v>
      </c>
      <c r="B19" s="2">
        <v>2</v>
      </c>
      <c r="C19" s="2">
        <v>12</v>
      </c>
    </row>
    <row r="20" spans="1:3">
      <c r="A20" s="2" t="s">
        <v>46</v>
      </c>
      <c r="B20" s="2">
        <v>4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AVERAGE(C16:C20)</f>
        <v>14.8</v>
      </c>
    </row>
    <row r="26" spans="1:3">
      <c r="A26" s="3" t="s">
        <v>47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AVERAGE(C26:C26)</f>
        <v>12</v>
      </c>
    </row>
    <row r="32" spans="1:3">
      <c r="A32" s="4" t="s">
        <v>22</v>
      </c>
      <c r="B32" s="4" t="s">
        <v>48</v>
      </c>
      <c r="C32" s="4">
        <f>AVERAGE(C2:C10,C16:C20,C26:C26)</f>
        <v>15.3333333333333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workbookViewId="0">
      <selection activeCell="E8" sqref="E8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2</v>
      </c>
      <c r="C2" s="1">
        <v>13</v>
      </c>
    </row>
    <row r="3" spans="1:3">
      <c r="A3" s="1" t="s">
        <v>49</v>
      </c>
      <c r="B3" s="1">
        <v>2</v>
      </c>
      <c r="C3" s="1">
        <v>13</v>
      </c>
    </row>
    <row r="4" spans="1:3">
      <c r="A4" s="1" t="s">
        <v>50</v>
      </c>
      <c r="B4" s="1">
        <v>2</v>
      </c>
      <c r="C4" s="1">
        <v>12</v>
      </c>
    </row>
    <row r="5" spans="1:3">
      <c r="A5" s="1" t="s">
        <v>51</v>
      </c>
      <c r="B5" s="1">
        <v>3</v>
      </c>
      <c r="C5" s="1">
        <v>12</v>
      </c>
    </row>
    <row r="6" spans="1:3">
      <c r="A6" s="1" t="s">
        <v>51</v>
      </c>
      <c r="B6" s="1">
        <v>3</v>
      </c>
      <c r="C6" s="1">
        <v>12</v>
      </c>
    </row>
    <row r="7" spans="1:3">
      <c r="A7" s="1" t="s">
        <v>52</v>
      </c>
      <c r="B7" s="1">
        <v>3</v>
      </c>
      <c r="C7" s="1">
        <v>12</v>
      </c>
    </row>
    <row r="8" spans="1:3">
      <c r="A8" s="1" t="s">
        <v>52</v>
      </c>
      <c r="B8" s="1">
        <v>3</v>
      </c>
      <c r="C8" s="1">
        <v>12</v>
      </c>
    </row>
    <row r="9" spans="1:3">
      <c r="A9" s="1" t="s">
        <v>53</v>
      </c>
      <c r="B9" s="1">
        <v>4</v>
      </c>
      <c r="C9" s="1">
        <v>12</v>
      </c>
    </row>
    <row r="10" spans="1:3">
      <c r="A10" s="1" t="s">
        <v>54</v>
      </c>
      <c r="B10" s="1">
        <v>4</v>
      </c>
      <c r="C10" s="1">
        <v>12</v>
      </c>
    </row>
    <row r="11" spans="1:3">
      <c r="A11" s="1" t="s">
        <v>54</v>
      </c>
      <c r="B11" s="1">
        <v>4</v>
      </c>
      <c r="C11" s="1">
        <v>12</v>
      </c>
    </row>
    <row r="12" spans="1:3">
      <c r="A12" s="1" t="s">
        <v>54</v>
      </c>
      <c r="B12" s="1">
        <v>4</v>
      </c>
      <c r="C12" s="1">
        <v>12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9</v>
      </c>
      <c r="B15" s="1" t="s">
        <v>10</v>
      </c>
      <c r="C15" s="1">
        <f>AVERAGE(C2:C12)</f>
        <v>12.1818181818182</v>
      </c>
    </row>
    <row r="18" spans="1:3">
      <c r="A18" s="2" t="s">
        <v>55</v>
      </c>
      <c r="B18" s="2">
        <v>4</v>
      </c>
      <c r="C18" s="2">
        <v>12</v>
      </c>
    </row>
    <row r="19" spans="1:3">
      <c r="A19" s="2" t="s">
        <v>55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AVERAGE(C18:C19)</f>
        <v>12</v>
      </c>
    </row>
    <row r="25" spans="1:3">
      <c r="A25" s="3" t="s">
        <v>56</v>
      </c>
      <c r="B25" s="3">
        <v>4</v>
      </c>
      <c r="C25" s="3">
        <v>18</v>
      </c>
    </row>
    <row r="26" spans="1:3">
      <c r="A26" s="3" t="s">
        <v>57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AVERAGE(C25:C26)</f>
        <v>15</v>
      </c>
    </row>
    <row r="32" spans="1:3">
      <c r="A32" s="4" t="s">
        <v>22</v>
      </c>
      <c r="B32" s="4" t="s">
        <v>48</v>
      </c>
      <c r="C32" s="4">
        <f>AVERAGE(C2:C12,C18:C19,C25:C26)</f>
        <v>12.5333333333333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3">
      <c r="A28" s="2" t="s">
        <v>31</v>
      </c>
      <c r="B28" s="2">
        <v>5</v>
      </c>
      <c r="C28" s="2">
        <v>18</v>
      </c>
    </row>
    <row r="29" spans="1:3">
      <c r="A29" s="2" t="s">
        <v>14</v>
      </c>
      <c r="B29" s="2">
        <v>6</v>
      </c>
      <c r="C29" s="2">
        <v>18</v>
      </c>
    </row>
    <row r="30" spans="1:3">
      <c r="A30" s="2" t="s">
        <v>32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AVERAGE(C19:C30)</f>
        <v>18.3333333333333</v>
      </c>
    </row>
    <row r="36" spans="1:3">
      <c r="A36" s="3" t="s">
        <v>58</v>
      </c>
      <c r="B36" s="3">
        <v>3</v>
      </c>
      <c r="C36" s="3">
        <v>18</v>
      </c>
    </row>
    <row r="37" spans="1:3">
      <c r="A37" s="3" t="s">
        <v>59</v>
      </c>
      <c r="B37" s="3">
        <v>4</v>
      </c>
      <c r="C37" s="3">
        <v>20</v>
      </c>
    </row>
    <row r="38" spans="1:3">
      <c r="A38" s="3" t="s">
        <v>60</v>
      </c>
      <c r="B38" s="3">
        <v>4</v>
      </c>
      <c r="C38" s="3">
        <v>19</v>
      </c>
    </row>
    <row r="39" spans="1:3">
      <c r="A39" s="3" t="s">
        <v>61</v>
      </c>
      <c r="B39" s="3">
        <v>4</v>
      </c>
      <c r="C39" s="3">
        <v>17</v>
      </c>
    </row>
    <row r="40" spans="1:3">
      <c r="A40" s="3" t="s">
        <v>62</v>
      </c>
      <c r="B40" s="3">
        <v>5</v>
      </c>
      <c r="C40" s="3">
        <v>15</v>
      </c>
    </row>
    <row r="41" spans="1:3">
      <c r="A41" s="3" t="s">
        <v>63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AVERAGE(C36:C41)</f>
        <v>18</v>
      </c>
    </row>
    <row r="47" spans="1:3">
      <c r="A47" t="s">
        <v>22</v>
      </c>
      <c r="B47" t="s">
        <v>64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5">
      <c r="A28" s="2" t="s">
        <v>14</v>
      </c>
      <c r="B28" s="2">
        <v>6</v>
      </c>
      <c r="C28" s="2">
        <v>18</v>
      </c>
      <c r="E28" s="5"/>
    </row>
    <row r="29" spans="1:5">
      <c r="A29" s="2" t="s">
        <v>32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15</v>
      </c>
      <c r="C32" s="2">
        <f>AVERAGE(C19:C29)</f>
        <v>18.3636363636364</v>
      </c>
    </row>
    <row r="35" spans="1:3">
      <c r="A35" s="3" t="s">
        <v>58</v>
      </c>
      <c r="B35" s="3">
        <v>3</v>
      </c>
      <c r="C35" s="3">
        <v>18</v>
      </c>
    </row>
    <row r="36" spans="1:3">
      <c r="A36" s="3" t="s">
        <v>59</v>
      </c>
      <c r="B36" s="3">
        <v>4</v>
      </c>
      <c r="C36" s="3">
        <v>20</v>
      </c>
    </row>
    <row r="37" spans="1:3">
      <c r="A37" s="3" t="s">
        <v>60</v>
      </c>
      <c r="B37" s="3">
        <v>4</v>
      </c>
      <c r="C37" s="3">
        <v>19</v>
      </c>
    </row>
    <row r="38" spans="1:3">
      <c r="A38" s="3" t="s">
        <v>61</v>
      </c>
      <c r="B38" s="3">
        <v>4</v>
      </c>
      <c r="C38" s="3">
        <v>17</v>
      </c>
    </row>
    <row r="39" spans="1:3">
      <c r="A39" s="3" t="s">
        <v>62</v>
      </c>
      <c r="B39" s="3">
        <v>5</v>
      </c>
      <c r="C39" s="3">
        <v>15</v>
      </c>
    </row>
    <row r="40" spans="1:3">
      <c r="A40" s="3" t="s">
        <v>63</v>
      </c>
      <c r="B40" s="3">
        <v>6</v>
      </c>
      <c r="C40" s="3">
        <v>19</v>
      </c>
    </row>
    <row r="41" spans="1:3">
      <c r="A41" s="3" t="s">
        <v>65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AVERAGE(C35:C41)</f>
        <v>17.1428571428571</v>
      </c>
    </row>
    <row r="47" spans="1:3">
      <c r="A47" s="4" t="s">
        <v>22</v>
      </c>
      <c r="B47" s="4" t="s">
        <v>64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36</v>
      </c>
      <c r="B4" s="1">
        <v>1</v>
      </c>
      <c r="C4" s="1">
        <v>14</v>
      </c>
    </row>
    <row r="5" spans="1:3">
      <c r="A5" s="1" t="s">
        <v>36</v>
      </c>
      <c r="B5" s="1">
        <v>1</v>
      </c>
      <c r="C5" s="1">
        <v>14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37</v>
      </c>
      <c r="B8" s="1">
        <v>2</v>
      </c>
      <c r="C8" s="1">
        <v>20</v>
      </c>
    </row>
    <row r="9" spans="1:3">
      <c r="A9" s="1" t="s">
        <v>38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40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 t="s">
        <v>66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43</v>
      </c>
      <c r="B22" s="2">
        <v>2</v>
      </c>
      <c r="C22" s="2">
        <v>20</v>
      </c>
    </row>
    <row r="23" spans="1:3">
      <c r="A23" s="2" t="s">
        <v>29</v>
      </c>
      <c r="B23" s="2">
        <v>2</v>
      </c>
      <c r="C23" s="2">
        <v>15</v>
      </c>
    </row>
    <row r="24" spans="1:3">
      <c r="A24" s="2" t="s">
        <v>29</v>
      </c>
      <c r="B24" s="2">
        <v>2</v>
      </c>
      <c r="C24" s="2">
        <v>14</v>
      </c>
    </row>
    <row r="25" spans="1:3">
      <c r="A25" s="2" t="s">
        <v>44</v>
      </c>
      <c r="B25" s="2">
        <v>2</v>
      </c>
      <c r="C25" s="2">
        <v>14</v>
      </c>
    </row>
    <row r="26" spans="1:3">
      <c r="A26" s="2" t="s">
        <v>45</v>
      </c>
      <c r="B26" s="2">
        <v>2</v>
      </c>
      <c r="C26" s="2">
        <v>13</v>
      </c>
    </row>
    <row r="27" spans="1:3">
      <c r="A27" s="2" t="s">
        <v>67</v>
      </c>
      <c r="B27" s="2">
        <v>2</v>
      </c>
      <c r="C27" s="2">
        <v>12</v>
      </c>
    </row>
    <row r="28" spans="1:3">
      <c r="A28" s="2" t="s">
        <v>30</v>
      </c>
      <c r="B28" s="2">
        <v>3</v>
      </c>
      <c r="C28" s="2">
        <v>20</v>
      </c>
    </row>
    <row r="29" spans="1:5">
      <c r="A29" s="2" t="s">
        <v>30</v>
      </c>
      <c r="B29" s="2">
        <v>3</v>
      </c>
      <c r="C29" s="2">
        <v>20</v>
      </c>
      <c r="E29" s="5"/>
    </row>
    <row r="30" spans="1:5">
      <c r="A30" s="2" t="s">
        <v>30</v>
      </c>
      <c r="B30" s="2">
        <v>3</v>
      </c>
      <c r="C30" s="2">
        <v>20</v>
      </c>
      <c r="E30" s="5"/>
    </row>
    <row r="31" ht="14" customHeight="1" spans="1:5">
      <c r="A31" s="2" t="s">
        <v>46</v>
      </c>
      <c r="B31" s="2">
        <v>4</v>
      </c>
      <c r="C31" s="2">
        <v>14</v>
      </c>
      <c r="E31" s="5"/>
    </row>
    <row r="32" ht="14" customHeight="1" spans="1:5">
      <c r="A32" s="2" t="s">
        <v>31</v>
      </c>
      <c r="B32" s="2">
        <v>5</v>
      </c>
      <c r="C32" s="2">
        <v>18</v>
      </c>
      <c r="E32" s="5"/>
    </row>
    <row r="33" spans="1:5">
      <c r="A33" s="2" t="s">
        <v>32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15</v>
      </c>
      <c r="C36" s="2">
        <f>AVERAGE(C21:C33)</f>
        <v>16.9230769230769</v>
      </c>
    </row>
    <row r="39" spans="1:3">
      <c r="A39" s="3" t="s">
        <v>59</v>
      </c>
      <c r="B39" s="3">
        <v>4</v>
      </c>
      <c r="C39" s="3">
        <v>20</v>
      </c>
    </row>
    <row r="40" spans="1:3">
      <c r="A40" s="3" t="s">
        <v>47</v>
      </c>
      <c r="B40" s="3">
        <v>4</v>
      </c>
      <c r="C40" s="3">
        <v>14</v>
      </c>
    </row>
    <row r="41" spans="1:3">
      <c r="A41" s="3" t="s">
        <v>62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AVERAGE(C39:C41)</f>
        <v>16.3333333333333</v>
      </c>
    </row>
    <row r="47" spans="1:3">
      <c r="A47" s="4" t="s">
        <v>22</v>
      </c>
      <c r="B47" s="4" t="s">
        <v>64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36</v>
      </c>
      <c r="B3" s="1">
        <v>1</v>
      </c>
      <c r="C3" s="1">
        <v>14</v>
      </c>
    </row>
    <row r="4" spans="1:3">
      <c r="A4" s="1" t="s">
        <v>36</v>
      </c>
      <c r="B4" s="1">
        <v>1</v>
      </c>
      <c r="C4" s="1">
        <v>14</v>
      </c>
    </row>
    <row r="5" spans="1:3">
      <c r="A5" s="1" t="s">
        <v>68</v>
      </c>
      <c r="B5" s="1">
        <v>1</v>
      </c>
      <c r="C5" s="1">
        <v>12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37</v>
      </c>
      <c r="B8" s="1">
        <v>2</v>
      </c>
      <c r="C8" s="1">
        <v>20</v>
      </c>
    </row>
    <row r="9" spans="1:3">
      <c r="A9" s="1" t="s">
        <v>38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40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28</v>
      </c>
      <c r="B20" s="2">
        <v>2</v>
      </c>
      <c r="C20" s="2">
        <v>20</v>
      </c>
    </row>
    <row r="21" spans="1:3">
      <c r="A21" s="2" t="s">
        <v>43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44</v>
      </c>
      <c r="B24" s="2">
        <v>2</v>
      </c>
      <c r="C24" s="2">
        <v>14</v>
      </c>
    </row>
    <row r="25" spans="1:3">
      <c r="A25" s="2" t="s">
        <v>45</v>
      </c>
      <c r="B25" s="2">
        <v>2</v>
      </c>
      <c r="C25" s="2">
        <v>13</v>
      </c>
    </row>
    <row r="26" spans="1:3">
      <c r="A26" s="2" t="s">
        <v>67</v>
      </c>
      <c r="B26" s="2">
        <v>2</v>
      </c>
      <c r="C26" s="2">
        <v>12</v>
      </c>
    </row>
    <row r="27" spans="1:3">
      <c r="A27" s="2" t="s">
        <v>30</v>
      </c>
      <c r="B27" s="2">
        <v>3</v>
      </c>
      <c r="C27" s="2">
        <v>20</v>
      </c>
    </row>
    <row r="28" spans="1:5">
      <c r="A28" s="2" t="s">
        <v>30</v>
      </c>
      <c r="B28" s="2">
        <v>3</v>
      </c>
      <c r="C28" s="2">
        <v>20</v>
      </c>
      <c r="E28" s="5"/>
    </row>
    <row r="29" spans="1:5">
      <c r="A29" s="2" t="s">
        <v>30</v>
      </c>
      <c r="B29" s="2">
        <v>3</v>
      </c>
      <c r="C29" s="2">
        <v>20</v>
      </c>
      <c r="E29" s="5"/>
    </row>
    <row r="30" ht="14" customHeight="1" spans="1:5">
      <c r="A30" s="2" t="s">
        <v>69</v>
      </c>
      <c r="B30" s="2">
        <v>3</v>
      </c>
      <c r="C30" s="2">
        <v>14</v>
      </c>
      <c r="E30" s="5"/>
    </row>
    <row r="31" ht="14" customHeight="1" spans="1:5">
      <c r="A31" s="2" t="s">
        <v>70</v>
      </c>
      <c r="B31" s="2">
        <v>3</v>
      </c>
      <c r="C31" s="2">
        <v>14</v>
      </c>
      <c r="E31" s="5"/>
    </row>
    <row r="32" ht="14" customHeight="1" spans="1:5">
      <c r="A32" s="2" t="s">
        <v>46</v>
      </c>
      <c r="B32" s="2">
        <v>4</v>
      </c>
      <c r="C32" s="2">
        <v>14</v>
      </c>
      <c r="E32" s="5"/>
    </row>
    <row r="33" ht="14" customHeight="1" spans="1:5">
      <c r="A33" s="2" t="s">
        <v>31</v>
      </c>
      <c r="B33" s="2">
        <v>5</v>
      </c>
      <c r="C33" s="2">
        <v>18</v>
      </c>
      <c r="E33" s="5"/>
    </row>
    <row r="34" ht="14" customHeight="1" spans="1:5">
      <c r="A34" s="2" t="s">
        <v>32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15</v>
      </c>
      <c r="C37" s="2">
        <f>AVERAGE(C20:C34)</f>
        <v>16.5333333333333</v>
      </c>
    </row>
    <row r="40" spans="1:3">
      <c r="A40" s="3" t="s">
        <v>59</v>
      </c>
      <c r="B40" s="3">
        <v>4</v>
      </c>
      <c r="C40" s="3">
        <v>20</v>
      </c>
    </row>
    <row r="41" spans="1:3">
      <c r="A41" s="3" t="s">
        <v>47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AVERAGE(C40:C41)</f>
        <v>17</v>
      </c>
    </row>
    <row r="47" spans="1:3">
      <c r="A47" s="4" t="s">
        <v>22</v>
      </c>
      <c r="B47" s="4" t="s">
        <v>64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49</v>
      </c>
      <c r="B5" s="1">
        <v>2</v>
      </c>
      <c r="C5" s="1">
        <v>13</v>
      </c>
    </row>
    <row r="6" spans="1:3">
      <c r="A6" s="1" t="s">
        <v>71</v>
      </c>
      <c r="B6" s="1">
        <v>2</v>
      </c>
      <c r="C6" s="1">
        <v>12</v>
      </c>
    </row>
    <row r="7" spans="1:3">
      <c r="A7" s="1" t="s">
        <v>51</v>
      </c>
      <c r="B7" s="1">
        <v>3</v>
      </c>
      <c r="C7" s="1">
        <v>12</v>
      </c>
    </row>
    <row r="8" spans="1:3">
      <c r="A8" s="1" t="s">
        <v>51</v>
      </c>
      <c r="B8" s="1">
        <v>3</v>
      </c>
      <c r="C8" s="1">
        <v>12</v>
      </c>
    </row>
    <row r="9" spans="1:3">
      <c r="A9" s="1" t="s">
        <v>51</v>
      </c>
      <c r="B9" s="1">
        <v>3</v>
      </c>
      <c r="C9" s="1">
        <v>12</v>
      </c>
    </row>
    <row r="10" spans="1:3">
      <c r="A10" s="1" t="s">
        <v>27</v>
      </c>
      <c r="B10" s="1">
        <v>3</v>
      </c>
      <c r="C10" s="1">
        <v>20</v>
      </c>
    </row>
    <row r="11" spans="1:3">
      <c r="A11" s="1" t="s">
        <v>52</v>
      </c>
      <c r="B11" s="1">
        <v>3</v>
      </c>
      <c r="C11" s="1">
        <v>12</v>
      </c>
    </row>
    <row r="12" spans="1:3">
      <c r="A12" s="1" t="s">
        <v>53</v>
      </c>
      <c r="B12" s="1">
        <v>4</v>
      </c>
      <c r="C12" s="1">
        <v>12</v>
      </c>
    </row>
    <row r="13" spans="1:3">
      <c r="A13" s="1" t="s">
        <v>54</v>
      </c>
      <c r="B13" s="1">
        <v>4</v>
      </c>
      <c r="C13" s="1">
        <v>12</v>
      </c>
    </row>
    <row r="14" spans="1:3">
      <c r="A14" s="1" t="s">
        <v>54</v>
      </c>
      <c r="B14" s="1">
        <v>4</v>
      </c>
      <c r="C14" s="1">
        <v>12</v>
      </c>
    </row>
    <row r="15" spans="1:3">
      <c r="A15" s="1" t="s">
        <v>54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69</v>
      </c>
      <c r="B27" s="2">
        <v>3</v>
      </c>
      <c r="C27" s="2">
        <v>14</v>
      </c>
    </row>
    <row r="28" spans="1:5">
      <c r="A28" s="2" t="s">
        <v>72</v>
      </c>
      <c r="B28" s="2">
        <v>4</v>
      </c>
      <c r="C28" s="2">
        <v>12</v>
      </c>
      <c r="E28" s="5"/>
    </row>
    <row r="29" spans="1:5">
      <c r="A29" s="2" t="s">
        <v>55</v>
      </c>
      <c r="B29" s="2">
        <v>4</v>
      </c>
      <c r="C29" s="2">
        <v>12</v>
      </c>
      <c r="E29" s="5"/>
    </row>
    <row r="30" ht="14" customHeight="1" spans="1:5">
      <c r="A30" s="2" t="s">
        <v>31</v>
      </c>
      <c r="B30" s="2">
        <v>5</v>
      </c>
      <c r="C30" s="2">
        <v>18</v>
      </c>
      <c r="E30" s="5"/>
    </row>
    <row r="31" spans="1:5">
      <c r="A31" s="2" t="s">
        <v>73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AVERAGE(C21:C31)</f>
        <v>16.0909090909091</v>
      </c>
    </row>
    <row r="37" spans="1:3">
      <c r="A37" s="3" t="s">
        <v>59</v>
      </c>
      <c r="B37" s="3">
        <v>4</v>
      </c>
      <c r="C37" s="3">
        <v>20</v>
      </c>
    </row>
    <row r="38" spans="1:3">
      <c r="A38" s="3" t="s">
        <v>74</v>
      </c>
      <c r="B38" s="3">
        <v>4</v>
      </c>
      <c r="C38" s="3">
        <v>18</v>
      </c>
    </row>
    <row r="39" spans="1:3">
      <c r="A39" s="3" t="s">
        <v>75</v>
      </c>
      <c r="B39" s="3">
        <v>4</v>
      </c>
      <c r="C39" s="3">
        <v>12</v>
      </c>
    </row>
    <row r="40" spans="1:3">
      <c r="A40" s="3" t="s">
        <v>62</v>
      </c>
      <c r="B40" s="3">
        <v>5</v>
      </c>
      <c r="C40" s="3">
        <v>15</v>
      </c>
    </row>
    <row r="41" spans="1:3">
      <c r="A41" s="3" t="s">
        <v>76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AVERAGE(C37:C41)</f>
        <v>15.4</v>
      </c>
    </row>
    <row r="46" spans="2:2">
      <c r="B46" s="4" t="s">
        <v>64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77</v>
      </c>
      <c r="B1" t="s">
        <v>0</v>
      </c>
      <c r="C1" t="s">
        <v>78</v>
      </c>
      <c r="D1" t="s">
        <v>1</v>
      </c>
      <c r="E1" t="s">
        <v>79</v>
      </c>
    </row>
    <row r="2" spans="3:3">
      <c r="C2" s="1"/>
    </row>
    <row r="3" spans="1:5">
      <c r="A3" t="s">
        <v>80</v>
      </c>
      <c r="B3" t="s">
        <v>3</v>
      </c>
      <c r="C3" s="1" t="s">
        <v>81</v>
      </c>
      <c r="D3">
        <v>1</v>
      </c>
      <c r="E3" t="s">
        <v>82</v>
      </c>
    </row>
    <row r="4" spans="1:5">
      <c r="A4" t="s">
        <v>80</v>
      </c>
      <c r="B4" t="s">
        <v>83</v>
      </c>
      <c r="C4" s="1" t="s">
        <v>81</v>
      </c>
      <c r="D4">
        <v>2</v>
      </c>
      <c r="E4" t="s">
        <v>84</v>
      </c>
    </row>
    <row r="5" spans="1:5">
      <c r="A5" t="s">
        <v>80</v>
      </c>
      <c r="B5" t="s">
        <v>4</v>
      </c>
      <c r="C5" s="1" t="s">
        <v>81</v>
      </c>
      <c r="D5">
        <v>2</v>
      </c>
      <c r="E5" t="s">
        <v>85</v>
      </c>
    </row>
    <row r="6" spans="1:5">
      <c r="A6" t="s">
        <v>80</v>
      </c>
      <c r="B6" t="s">
        <v>86</v>
      </c>
      <c r="C6" s="1" t="s">
        <v>81</v>
      </c>
      <c r="D6">
        <v>3</v>
      </c>
      <c r="E6" t="s">
        <v>87</v>
      </c>
    </row>
    <row r="7" spans="1:5">
      <c r="A7" t="s">
        <v>80</v>
      </c>
      <c r="B7" t="s">
        <v>6</v>
      </c>
      <c r="C7" s="1" t="s">
        <v>81</v>
      </c>
      <c r="D7">
        <v>3</v>
      </c>
      <c r="E7" t="s">
        <v>88</v>
      </c>
    </row>
    <row r="8" spans="1:5">
      <c r="A8" t="s">
        <v>80</v>
      </c>
      <c r="B8" t="s">
        <v>89</v>
      </c>
      <c r="C8" s="1" t="s">
        <v>81</v>
      </c>
      <c r="D8">
        <v>3</v>
      </c>
      <c r="E8" t="s">
        <v>90</v>
      </c>
    </row>
    <row r="9" spans="1:5">
      <c r="A9" t="s">
        <v>80</v>
      </c>
      <c r="B9" t="s">
        <v>7</v>
      </c>
      <c r="C9" s="1" t="s">
        <v>81</v>
      </c>
      <c r="D9">
        <v>3</v>
      </c>
      <c r="E9" t="s">
        <v>91</v>
      </c>
    </row>
    <row r="10" spans="1:5">
      <c r="A10" t="s">
        <v>80</v>
      </c>
      <c r="B10" t="s">
        <v>92</v>
      </c>
      <c r="C10" s="1" t="s">
        <v>81</v>
      </c>
      <c r="D10">
        <v>4</v>
      </c>
      <c r="E10" t="s">
        <v>93</v>
      </c>
    </row>
    <row r="11" spans="1:5">
      <c r="A11" t="s">
        <v>80</v>
      </c>
      <c r="B11" t="s">
        <v>8</v>
      </c>
      <c r="C11" s="1" t="s">
        <v>81</v>
      </c>
      <c r="D11">
        <v>5</v>
      </c>
      <c r="E11" t="s">
        <v>94</v>
      </c>
    </row>
    <row r="12" spans="1:5">
      <c r="A12" t="s">
        <v>80</v>
      </c>
      <c r="B12" t="s">
        <v>12</v>
      </c>
      <c r="C12" s="2" t="s">
        <v>95</v>
      </c>
      <c r="D12">
        <v>2</v>
      </c>
      <c r="E12" t="s">
        <v>96</v>
      </c>
    </row>
    <row r="13" spans="1:5">
      <c r="A13" t="s">
        <v>80</v>
      </c>
      <c r="B13" t="s">
        <v>97</v>
      </c>
      <c r="C13" s="2" t="s">
        <v>95</v>
      </c>
      <c r="D13">
        <v>3</v>
      </c>
      <c r="E13" t="s">
        <v>98</v>
      </c>
    </row>
    <row r="14" spans="1:5">
      <c r="A14" t="s">
        <v>80</v>
      </c>
      <c r="B14" t="s">
        <v>99</v>
      </c>
      <c r="C14" s="2" t="s">
        <v>95</v>
      </c>
      <c r="D14">
        <v>3</v>
      </c>
      <c r="E14" t="s">
        <v>100</v>
      </c>
    </row>
    <row r="15" spans="1:5">
      <c r="A15" t="s">
        <v>80</v>
      </c>
      <c r="B15" t="s">
        <v>101</v>
      </c>
      <c r="C15" s="2" t="s">
        <v>95</v>
      </c>
      <c r="D15">
        <v>4</v>
      </c>
      <c r="E15" t="s">
        <v>102</v>
      </c>
    </row>
    <row r="16" spans="1:5">
      <c r="A16" t="s">
        <v>80</v>
      </c>
      <c r="B16" t="s">
        <v>13</v>
      </c>
      <c r="C16" s="2" t="s">
        <v>95</v>
      </c>
      <c r="D16">
        <v>4</v>
      </c>
      <c r="E16" t="s">
        <v>103</v>
      </c>
    </row>
    <row r="17" spans="1:5">
      <c r="A17" t="s">
        <v>80</v>
      </c>
      <c r="B17" t="s">
        <v>104</v>
      </c>
      <c r="C17" s="2" t="s">
        <v>95</v>
      </c>
      <c r="D17">
        <v>4</v>
      </c>
      <c r="E17" t="s">
        <v>105</v>
      </c>
    </row>
    <row r="18" spans="1:5">
      <c r="A18" t="s">
        <v>80</v>
      </c>
      <c r="B18" t="s">
        <v>106</v>
      </c>
      <c r="C18" s="2" t="s">
        <v>95</v>
      </c>
      <c r="D18">
        <v>5</v>
      </c>
      <c r="E18" t="s">
        <v>107</v>
      </c>
    </row>
    <row r="19" spans="1:5">
      <c r="A19" t="s">
        <v>80</v>
      </c>
      <c r="B19" t="s">
        <v>14</v>
      </c>
      <c r="C19" s="2" t="s">
        <v>95</v>
      </c>
      <c r="D19">
        <v>6</v>
      </c>
      <c r="E19" t="s">
        <v>108</v>
      </c>
    </row>
    <row r="20" spans="1:5">
      <c r="A20" t="s">
        <v>80</v>
      </c>
      <c r="B20" t="s">
        <v>109</v>
      </c>
      <c r="C20" s="2" t="s">
        <v>95</v>
      </c>
      <c r="D20">
        <v>6</v>
      </c>
      <c r="E20" t="s">
        <v>110</v>
      </c>
    </row>
    <row r="21" spans="1:5">
      <c r="A21" t="s">
        <v>80</v>
      </c>
      <c r="B21" t="s">
        <v>58</v>
      </c>
      <c r="C21" s="5" t="s">
        <v>111</v>
      </c>
      <c r="D21">
        <v>3</v>
      </c>
      <c r="E21" t="s">
        <v>112</v>
      </c>
    </row>
    <row r="22" spans="1:5">
      <c r="A22" t="s">
        <v>80</v>
      </c>
      <c r="B22" t="s">
        <v>113</v>
      </c>
      <c r="C22" s="5" t="s">
        <v>111</v>
      </c>
      <c r="D22">
        <v>4</v>
      </c>
      <c r="E22" t="s">
        <v>114</v>
      </c>
    </row>
    <row r="23" spans="1:5">
      <c r="A23" t="s">
        <v>80</v>
      </c>
      <c r="B23" t="s">
        <v>61</v>
      </c>
      <c r="C23" s="5" t="s">
        <v>111</v>
      </c>
      <c r="D23">
        <v>4</v>
      </c>
      <c r="E23" t="s">
        <v>115</v>
      </c>
    </row>
    <row r="24" spans="1:5">
      <c r="A24" t="s">
        <v>80</v>
      </c>
      <c r="B24" t="s">
        <v>63</v>
      </c>
      <c r="C24" s="5" t="s">
        <v>111</v>
      </c>
      <c r="D24">
        <v>6</v>
      </c>
      <c r="E24" t="s">
        <v>116</v>
      </c>
    </row>
    <row r="27" spans="1:5">
      <c r="A27" t="s">
        <v>117</v>
      </c>
      <c r="B27" t="s">
        <v>24</v>
      </c>
      <c r="C27" s="1" t="s">
        <v>81</v>
      </c>
      <c r="D27">
        <v>0</v>
      </c>
      <c r="E27" t="s">
        <v>118</v>
      </c>
    </row>
    <row r="28" spans="1:5">
      <c r="A28" t="s">
        <v>117</v>
      </c>
      <c r="B28" t="s">
        <v>119</v>
      </c>
      <c r="C28" s="1" t="s">
        <v>81</v>
      </c>
      <c r="D28">
        <v>2</v>
      </c>
      <c r="E28" t="s">
        <v>120</v>
      </c>
    </row>
    <row r="29" spans="1:5">
      <c r="A29" t="s">
        <v>117</v>
      </c>
      <c r="B29" t="s">
        <v>25</v>
      </c>
      <c r="C29" s="1" t="s">
        <v>81</v>
      </c>
      <c r="D29">
        <v>2</v>
      </c>
      <c r="E29" t="s">
        <v>121</v>
      </c>
    </row>
    <row r="30" spans="1:5">
      <c r="A30" t="s">
        <v>117</v>
      </c>
      <c r="B30" t="s">
        <v>27</v>
      </c>
      <c r="C30" s="1" t="s">
        <v>81</v>
      </c>
      <c r="D30">
        <v>3</v>
      </c>
      <c r="E30" t="s">
        <v>122</v>
      </c>
    </row>
    <row r="31" spans="1:5">
      <c r="A31" t="s">
        <v>117</v>
      </c>
      <c r="B31" t="s">
        <v>123</v>
      </c>
      <c r="C31" s="1" t="s">
        <v>81</v>
      </c>
      <c r="D31">
        <v>4</v>
      </c>
      <c r="E31" t="s">
        <v>124</v>
      </c>
    </row>
    <row r="32" spans="1:5">
      <c r="A32" t="s">
        <v>117</v>
      </c>
      <c r="B32" t="s">
        <v>125</v>
      </c>
      <c r="C32" s="1" t="s">
        <v>81</v>
      </c>
      <c r="D32">
        <v>5</v>
      </c>
      <c r="E32" t="s">
        <v>126</v>
      </c>
    </row>
    <row r="33" spans="1:5">
      <c r="A33" t="s">
        <v>117</v>
      </c>
      <c r="B33" t="s">
        <v>127</v>
      </c>
      <c r="C33" s="2" t="s">
        <v>95</v>
      </c>
      <c r="D33">
        <v>1</v>
      </c>
      <c r="E33" t="s">
        <v>128</v>
      </c>
    </row>
    <row r="34" spans="1:5">
      <c r="A34" t="s">
        <v>117</v>
      </c>
      <c r="B34" t="s">
        <v>28</v>
      </c>
      <c r="C34" s="2" t="s">
        <v>95</v>
      </c>
      <c r="D34">
        <v>2</v>
      </c>
      <c r="E34" t="s">
        <v>129</v>
      </c>
    </row>
    <row r="35" spans="1:5">
      <c r="A35" t="s">
        <v>117</v>
      </c>
      <c r="B35" t="s">
        <v>29</v>
      </c>
      <c r="C35" s="2" t="s">
        <v>95</v>
      </c>
      <c r="D35">
        <v>2</v>
      </c>
      <c r="E35" t="s">
        <v>130</v>
      </c>
    </row>
    <row r="36" spans="1:5">
      <c r="A36" t="s">
        <v>117</v>
      </c>
      <c r="B36" t="s">
        <v>131</v>
      </c>
      <c r="C36" s="2" t="s">
        <v>95</v>
      </c>
      <c r="D36">
        <v>2</v>
      </c>
      <c r="E36" t="s">
        <v>132</v>
      </c>
    </row>
    <row r="37" spans="1:5">
      <c r="A37" t="s">
        <v>117</v>
      </c>
      <c r="B37" t="s">
        <v>69</v>
      </c>
      <c r="C37" s="2" t="s">
        <v>95</v>
      </c>
      <c r="D37">
        <v>3</v>
      </c>
      <c r="E37" t="s">
        <v>133</v>
      </c>
    </row>
    <row r="38" spans="1:5">
      <c r="A38" t="s">
        <v>117</v>
      </c>
      <c r="B38" t="s">
        <v>30</v>
      </c>
      <c r="C38" s="2" t="s">
        <v>95</v>
      </c>
      <c r="D38">
        <v>3</v>
      </c>
      <c r="E38" t="s">
        <v>134</v>
      </c>
    </row>
    <row r="39" spans="1:5">
      <c r="A39" t="s">
        <v>117</v>
      </c>
      <c r="B39" t="s">
        <v>135</v>
      </c>
      <c r="C39" s="2" t="s">
        <v>95</v>
      </c>
      <c r="D39">
        <v>4</v>
      </c>
      <c r="E39" t="s">
        <v>136</v>
      </c>
    </row>
    <row r="40" spans="1:5">
      <c r="A40" t="s">
        <v>117</v>
      </c>
      <c r="B40" t="s">
        <v>137</v>
      </c>
      <c r="C40" s="2" t="s">
        <v>95</v>
      </c>
      <c r="D40">
        <v>4</v>
      </c>
      <c r="E40" t="s">
        <v>138</v>
      </c>
    </row>
    <row r="41" spans="1:5">
      <c r="A41" t="s">
        <v>117</v>
      </c>
      <c r="B41" t="s">
        <v>139</v>
      </c>
      <c r="C41" s="2" t="s">
        <v>95</v>
      </c>
      <c r="D41">
        <v>4</v>
      </c>
      <c r="E41" t="s">
        <v>140</v>
      </c>
    </row>
    <row r="42" spans="1:5">
      <c r="A42" t="s">
        <v>117</v>
      </c>
      <c r="B42" t="s">
        <v>31</v>
      </c>
      <c r="C42" s="2" t="s">
        <v>95</v>
      </c>
      <c r="D42">
        <v>5</v>
      </c>
      <c r="E42" t="s">
        <v>141</v>
      </c>
    </row>
    <row r="43" spans="1:5">
      <c r="A43" t="s">
        <v>117</v>
      </c>
      <c r="B43" t="s">
        <v>32</v>
      </c>
      <c r="C43" s="2" t="s">
        <v>95</v>
      </c>
      <c r="D43">
        <v>7</v>
      </c>
      <c r="E43" t="s">
        <v>142</v>
      </c>
    </row>
    <row r="44" spans="1:5">
      <c r="A44" t="s">
        <v>117</v>
      </c>
      <c r="B44" t="s">
        <v>62</v>
      </c>
      <c r="C44" s="5" t="s">
        <v>111</v>
      </c>
      <c r="D44">
        <v>5</v>
      </c>
      <c r="E44" t="s">
        <v>143</v>
      </c>
    </row>
    <row r="45" spans="1:5">
      <c r="A45" t="s">
        <v>117</v>
      </c>
      <c r="B45" t="s">
        <v>76</v>
      </c>
      <c r="C45" s="5" t="s">
        <v>111</v>
      </c>
      <c r="D45">
        <v>6</v>
      </c>
      <c r="E45" t="s">
        <v>144</v>
      </c>
    </row>
    <row r="48" spans="1:5">
      <c r="A48" t="s">
        <v>145</v>
      </c>
      <c r="B48" t="s">
        <v>71</v>
      </c>
      <c r="C48" s="1" t="s">
        <v>81</v>
      </c>
      <c r="D48">
        <v>2</v>
      </c>
      <c r="E48" t="s">
        <v>146</v>
      </c>
    </row>
    <row r="49" spans="1:5">
      <c r="A49" t="s">
        <v>145</v>
      </c>
      <c r="B49" t="s">
        <v>49</v>
      </c>
      <c r="C49" s="1" t="s">
        <v>81</v>
      </c>
      <c r="D49">
        <v>2</v>
      </c>
      <c r="E49" t="s">
        <v>147</v>
      </c>
    </row>
    <row r="50" spans="1:5">
      <c r="A50" t="s">
        <v>145</v>
      </c>
      <c r="B50" t="s">
        <v>148</v>
      </c>
      <c r="C50" s="1" t="s">
        <v>81</v>
      </c>
      <c r="D50">
        <v>2</v>
      </c>
      <c r="E50" t="s">
        <v>149</v>
      </c>
    </row>
    <row r="51" spans="1:5">
      <c r="A51" t="s">
        <v>145</v>
      </c>
      <c r="B51" t="s">
        <v>52</v>
      </c>
      <c r="C51" s="1" t="s">
        <v>81</v>
      </c>
      <c r="D51">
        <v>3</v>
      </c>
      <c r="E51" t="s">
        <v>150</v>
      </c>
    </row>
    <row r="52" spans="1:5">
      <c r="A52" t="s">
        <v>145</v>
      </c>
      <c r="B52" t="s">
        <v>151</v>
      </c>
      <c r="C52" s="1" t="s">
        <v>81</v>
      </c>
      <c r="D52">
        <v>3</v>
      </c>
      <c r="E52" t="s">
        <v>152</v>
      </c>
    </row>
    <row r="53" spans="1:5">
      <c r="A53" t="s">
        <v>145</v>
      </c>
      <c r="B53" t="s">
        <v>53</v>
      </c>
      <c r="C53" s="1" t="s">
        <v>81</v>
      </c>
      <c r="D53">
        <v>4</v>
      </c>
      <c r="E53" t="s">
        <v>153</v>
      </c>
    </row>
    <row r="54" spans="1:5">
      <c r="A54" t="s">
        <v>145</v>
      </c>
      <c r="B54" t="s">
        <v>154</v>
      </c>
      <c r="C54" s="2" t="s">
        <v>95</v>
      </c>
      <c r="D54">
        <v>2</v>
      </c>
      <c r="E54" t="s">
        <v>155</v>
      </c>
    </row>
    <row r="55" spans="1:5">
      <c r="A55" t="s">
        <v>145</v>
      </c>
      <c r="B55" t="s">
        <v>156</v>
      </c>
      <c r="C55" s="2" t="s">
        <v>95</v>
      </c>
      <c r="D55">
        <v>3</v>
      </c>
      <c r="E55" t="s">
        <v>157</v>
      </c>
    </row>
    <row r="56" spans="1:5">
      <c r="A56" t="s">
        <v>145</v>
      </c>
      <c r="B56" t="s">
        <v>72</v>
      </c>
      <c r="C56" s="2" t="s">
        <v>95</v>
      </c>
      <c r="D56">
        <v>4</v>
      </c>
      <c r="E56" t="s">
        <v>158</v>
      </c>
    </row>
    <row r="57" spans="1:5">
      <c r="A57" t="s">
        <v>145</v>
      </c>
      <c r="B57" t="s">
        <v>55</v>
      </c>
      <c r="C57" s="2" t="s">
        <v>95</v>
      </c>
      <c r="D57">
        <v>4</v>
      </c>
      <c r="E57" t="s">
        <v>159</v>
      </c>
    </row>
    <row r="58" spans="1:5">
      <c r="A58" t="s">
        <v>145</v>
      </c>
      <c r="B58" t="s">
        <v>160</v>
      </c>
      <c r="C58" s="2" t="s">
        <v>95</v>
      </c>
      <c r="D58">
        <v>5</v>
      </c>
      <c r="E58" t="s">
        <v>161</v>
      </c>
    </row>
    <row r="59" spans="1:5">
      <c r="A59" t="s">
        <v>145</v>
      </c>
      <c r="B59" t="s">
        <v>74</v>
      </c>
      <c r="C59" s="5" t="s">
        <v>111</v>
      </c>
      <c r="D59">
        <v>4</v>
      </c>
      <c r="E59" t="s">
        <v>162</v>
      </c>
    </row>
    <row r="62" spans="1:5">
      <c r="A62" t="s">
        <v>163</v>
      </c>
      <c r="B62" t="s">
        <v>37</v>
      </c>
      <c r="C62" s="1" t="s">
        <v>81</v>
      </c>
      <c r="D62">
        <v>2</v>
      </c>
      <c r="E62" t="s">
        <v>164</v>
      </c>
    </row>
    <row r="63" spans="1:5">
      <c r="A63" t="s">
        <v>163</v>
      </c>
      <c r="B63" t="s">
        <v>165</v>
      </c>
      <c r="C63" s="1" t="s">
        <v>81</v>
      </c>
      <c r="D63">
        <v>2</v>
      </c>
      <c r="E63" t="s">
        <v>166</v>
      </c>
    </row>
    <row r="64" spans="1:5">
      <c r="A64" t="s">
        <v>163</v>
      </c>
      <c r="B64" t="s">
        <v>167</v>
      </c>
      <c r="C64" s="1" t="s">
        <v>81</v>
      </c>
      <c r="D64">
        <v>2</v>
      </c>
      <c r="E64" t="s">
        <v>168</v>
      </c>
    </row>
    <row r="65" spans="1:5">
      <c r="A65" t="s">
        <v>163</v>
      </c>
      <c r="B65" t="s">
        <v>38</v>
      </c>
      <c r="C65" s="1" t="s">
        <v>81</v>
      </c>
      <c r="D65">
        <v>2</v>
      </c>
      <c r="E65" t="s">
        <v>169</v>
      </c>
    </row>
    <row r="66" spans="1:5">
      <c r="A66" t="s">
        <v>163</v>
      </c>
      <c r="B66" t="s">
        <v>170</v>
      </c>
      <c r="C66" s="1" t="s">
        <v>81</v>
      </c>
      <c r="D66">
        <v>2</v>
      </c>
      <c r="E66" t="s">
        <v>171</v>
      </c>
    </row>
    <row r="67" spans="1:5">
      <c r="A67" t="s">
        <v>163</v>
      </c>
      <c r="B67" t="s">
        <v>41</v>
      </c>
      <c r="C67" s="1" t="s">
        <v>81</v>
      </c>
      <c r="D67">
        <v>3</v>
      </c>
      <c r="E67" t="s">
        <v>172</v>
      </c>
    </row>
    <row r="68" spans="1:5">
      <c r="A68" t="s">
        <v>163</v>
      </c>
      <c r="B68" t="s">
        <v>42</v>
      </c>
      <c r="C68" s="1" t="s">
        <v>81</v>
      </c>
      <c r="D68">
        <v>3</v>
      </c>
      <c r="E68" t="s">
        <v>173</v>
      </c>
    </row>
    <row r="69" spans="1:5">
      <c r="A69" t="s">
        <v>163</v>
      </c>
      <c r="B69" t="s">
        <v>44</v>
      </c>
      <c r="C69" s="2" t="s">
        <v>95</v>
      </c>
      <c r="D69">
        <v>2</v>
      </c>
      <c r="E69" t="s">
        <v>174</v>
      </c>
    </row>
    <row r="70" spans="1:5">
      <c r="A70" t="s">
        <v>163</v>
      </c>
      <c r="B70" t="s">
        <v>175</v>
      </c>
      <c r="C70" s="2" t="s">
        <v>95</v>
      </c>
      <c r="D70">
        <v>2</v>
      </c>
      <c r="E70" t="s">
        <v>176</v>
      </c>
    </row>
    <row r="71" spans="1:5">
      <c r="A71" t="s">
        <v>163</v>
      </c>
      <c r="B71" t="s">
        <v>43</v>
      </c>
      <c r="C71" s="2" t="s">
        <v>95</v>
      </c>
      <c r="D71">
        <v>2</v>
      </c>
      <c r="E71" t="s">
        <v>177</v>
      </c>
    </row>
    <row r="72" spans="1:5">
      <c r="A72" t="s">
        <v>163</v>
      </c>
      <c r="B72" t="s">
        <v>45</v>
      </c>
      <c r="C72" s="2" t="s">
        <v>95</v>
      </c>
      <c r="D72">
        <v>2</v>
      </c>
      <c r="E72" t="s">
        <v>178</v>
      </c>
    </row>
    <row r="73" spans="1:5">
      <c r="A73" t="s">
        <v>163</v>
      </c>
      <c r="B73" t="s">
        <v>179</v>
      </c>
      <c r="C73" s="2" t="s">
        <v>95</v>
      </c>
      <c r="D73">
        <v>3</v>
      </c>
      <c r="E73" t="s">
        <v>180</v>
      </c>
    </row>
    <row r="74" spans="1:5">
      <c r="A74" t="s">
        <v>163</v>
      </c>
      <c r="B74" t="s">
        <v>181</v>
      </c>
      <c r="C74" s="2" t="s">
        <v>95</v>
      </c>
      <c r="D74">
        <v>4</v>
      </c>
      <c r="E74" t="s">
        <v>182</v>
      </c>
    </row>
    <row r="75" spans="1:5">
      <c r="A75" t="s">
        <v>163</v>
      </c>
      <c r="B75" t="s">
        <v>183</v>
      </c>
      <c r="C75" s="5" t="s">
        <v>111</v>
      </c>
      <c r="D75">
        <v>4</v>
      </c>
      <c r="E75" t="s">
        <v>184</v>
      </c>
    </row>
    <row r="78" spans="1:5">
      <c r="A78" t="s">
        <v>185</v>
      </c>
      <c r="B78" t="s">
        <v>186</v>
      </c>
      <c r="C78" s="1" t="s">
        <v>81</v>
      </c>
      <c r="D78">
        <v>2</v>
      </c>
      <c r="E78" t="s">
        <v>187</v>
      </c>
    </row>
    <row r="79" spans="1:5">
      <c r="A79" t="s">
        <v>185</v>
      </c>
      <c r="B79" t="s">
        <v>188</v>
      </c>
      <c r="C79" s="1" t="s">
        <v>81</v>
      </c>
      <c r="D79">
        <v>2</v>
      </c>
      <c r="E79" t="s">
        <v>189</v>
      </c>
    </row>
    <row r="80" spans="1:5">
      <c r="A80" t="s">
        <v>185</v>
      </c>
      <c r="B80" t="s">
        <v>190</v>
      </c>
      <c r="C80" s="1" t="s">
        <v>81</v>
      </c>
      <c r="D80">
        <v>3</v>
      </c>
      <c r="E80" t="s">
        <v>191</v>
      </c>
    </row>
    <row r="81" spans="1:5">
      <c r="A81" t="s">
        <v>185</v>
      </c>
      <c r="B81" t="s">
        <v>192</v>
      </c>
      <c r="C81" s="1" t="s">
        <v>81</v>
      </c>
      <c r="D81">
        <v>4</v>
      </c>
      <c r="E81" t="s">
        <v>193</v>
      </c>
    </row>
    <row r="82" spans="1:5">
      <c r="A82" t="s">
        <v>185</v>
      </c>
      <c r="B82" t="s">
        <v>194</v>
      </c>
      <c r="C82" s="2" t="s">
        <v>95</v>
      </c>
      <c r="D82">
        <v>3</v>
      </c>
      <c r="E82" t="s">
        <v>195</v>
      </c>
    </row>
    <row r="83" spans="1:5">
      <c r="A83" t="s">
        <v>185</v>
      </c>
      <c r="B83" t="s">
        <v>196</v>
      </c>
      <c r="C83" s="2" t="s">
        <v>95</v>
      </c>
      <c r="D83">
        <v>5</v>
      </c>
      <c r="E83" t="s">
        <v>197</v>
      </c>
    </row>
    <row r="86" spans="1:5">
      <c r="A86" t="s">
        <v>198</v>
      </c>
      <c r="B86" t="s">
        <v>199</v>
      </c>
      <c r="C86" s="1" t="s">
        <v>81</v>
      </c>
      <c r="D86">
        <v>0</v>
      </c>
      <c r="E86" t="s">
        <v>200</v>
      </c>
    </row>
    <row r="87" spans="1:5">
      <c r="A87" t="s">
        <v>198</v>
      </c>
      <c r="B87" t="s">
        <v>201</v>
      </c>
      <c r="C87" s="1" t="s">
        <v>81</v>
      </c>
      <c r="D87">
        <v>2</v>
      </c>
      <c r="E87" t="s">
        <v>202</v>
      </c>
    </row>
    <row r="88" spans="1:5">
      <c r="A88" t="s">
        <v>198</v>
      </c>
      <c r="B88" t="s">
        <v>203</v>
      </c>
      <c r="C88" s="1" t="s">
        <v>81</v>
      </c>
      <c r="D88">
        <v>2</v>
      </c>
      <c r="E88" t="s">
        <v>204</v>
      </c>
    </row>
    <row r="89" spans="1:5">
      <c r="A89" t="s">
        <v>198</v>
      </c>
      <c r="B89" t="s">
        <v>205</v>
      </c>
      <c r="C89" s="1" t="s">
        <v>81</v>
      </c>
      <c r="D89">
        <v>2</v>
      </c>
      <c r="E89" t="s">
        <v>206</v>
      </c>
    </row>
    <row r="90" spans="1:5">
      <c r="A90" t="s">
        <v>198</v>
      </c>
      <c r="B90" t="s">
        <v>207</v>
      </c>
      <c r="C90" s="1" t="s">
        <v>81</v>
      </c>
      <c r="D90">
        <v>2</v>
      </c>
      <c r="E90" t="s">
        <v>208</v>
      </c>
    </row>
    <row r="91" spans="1:5">
      <c r="A91" t="s">
        <v>198</v>
      </c>
      <c r="B91" t="s">
        <v>209</v>
      </c>
      <c r="C91" s="1" t="s">
        <v>81</v>
      </c>
      <c r="D91">
        <v>3</v>
      </c>
      <c r="E91" t="s">
        <v>210</v>
      </c>
    </row>
    <row r="92" spans="1:5">
      <c r="A92" t="s">
        <v>198</v>
      </c>
      <c r="B92" t="s">
        <v>211</v>
      </c>
      <c r="C92" s="1" t="s">
        <v>81</v>
      </c>
      <c r="D92">
        <v>3</v>
      </c>
      <c r="E92" t="s">
        <v>212</v>
      </c>
    </row>
    <row r="93" spans="1:5">
      <c r="A93" t="s">
        <v>198</v>
      </c>
      <c r="B93" t="s">
        <v>213</v>
      </c>
      <c r="C93" s="1" t="s">
        <v>81</v>
      </c>
      <c r="D93">
        <v>3</v>
      </c>
      <c r="E93" t="s">
        <v>214</v>
      </c>
    </row>
    <row r="94" spans="1:5">
      <c r="A94" t="s">
        <v>198</v>
      </c>
      <c r="B94" t="s">
        <v>215</v>
      </c>
      <c r="C94" s="1" t="s">
        <v>81</v>
      </c>
      <c r="D94">
        <v>4</v>
      </c>
      <c r="E94" t="s">
        <v>216</v>
      </c>
    </row>
    <row r="95" spans="1:5">
      <c r="A95" t="s">
        <v>198</v>
      </c>
      <c r="B95" t="s">
        <v>217</v>
      </c>
      <c r="C95" s="1" t="s">
        <v>81</v>
      </c>
      <c r="D95">
        <v>4</v>
      </c>
      <c r="E95" t="s">
        <v>218</v>
      </c>
    </row>
    <row r="96" spans="1:5">
      <c r="A96" t="s">
        <v>198</v>
      </c>
      <c r="B96" t="s">
        <v>219</v>
      </c>
      <c r="C96" s="1" t="s">
        <v>81</v>
      </c>
      <c r="D96">
        <v>4</v>
      </c>
      <c r="E96" t="s">
        <v>220</v>
      </c>
    </row>
    <row r="97" spans="1:5">
      <c r="A97" t="s">
        <v>198</v>
      </c>
      <c r="B97" t="s">
        <v>221</v>
      </c>
      <c r="C97" s="1" t="s">
        <v>81</v>
      </c>
      <c r="D97">
        <v>5</v>
      </c>
      <c r="E97" t="s">
        <v>222</v>
      </c>
    </row>
    <row r="98" spans="1:5">
      <c r="A98" t="s">
        <v>198</v>
      </c>
      <c r="B98" t="s">
        <v>223</v>
      </c>
      <c r="C98" s="1" t="s">
        <v>81</v>
      </c>
      <c r="D98">
        <v>5</v>
      </c>
      <c r="E98" t="s">
        <v>224</v>
      </c>
    </row>
    <row r="99" spans="1:5">
      <c r="A99" t="s">
        <v>198</v>
      </c>
      <c r="B99" t="s">
        <v>225</v>
      </c>
      <c r="C99" s="2" t="s">
        <v>95</v>
      </c>
      <c r="D99">
        <v>2</v>
      </c>
      <c r="E99" t="s">
        <v>226</v>
      </c>
    </row>
    <row r="100" spans="1:5">
      <c r="A100" t="s">
        <v>198</v>
      </c>
      <c r="B100" t="s">
        <v>227</v>
      </c>
      <c r="C100" s="2" t="s">
        <v>95</v>
      </c>
      <c r="D100">
        <v>2</v>
      </c>
      <c r="E100" t="s">
        <v>228</v>
      </c>
    </row>
    <row r="101" spans="1:5">
      <c r="A101" t="s">
        <v>198</v>
      </c>
      <c r="B101" t="s">
        <v>229</v>
      </c>
      <c r="C101" s="2" t="s">
        <v>95</v>
      </c>
      <c r="D101">
        <v>3</v>
      </c>
      <c r="E101" t="s">
        <v>230</v>
      </c>
    </row>
    <row r="102" spans="1:5">
      <c r="A102" t="s">
        <v>198</v>
      </c>
      <c r="B102" t="s">
        <v>231</v>
      </c>
      <c r="C102" s="2" t="s">
        <v>95</v>
      </c>
      <c r="D102">
        <v>4</v>
      </c>
      <c r="E102" t="s">
        <v>232</v>
      </c>
    </row>
    <row r="105" spans="1:5">
      <c r="A105" t="s">
        <v>233</v>
      </c>
      <c r="B105" t="s">
        <v>234</v>
      </c>
      <c r="C105" s="1" t="s">
        <v>81</v>
      </c>
      <c r="D105">
        <v>2</v>
      </c>
      <c r="E105" t="s">
        <v>235</v>
      </c>
    </row>
    <row r="106" spans="1:5">
      <c r="A106" t="s">
        <v>233</v>
      </c>
      <c r="B106" t="s">
        <v>236</v>
      </c>
      <c r="C106" s="1" t="s">
        <v>81</v>
      </c>
      <c r="D106">
        <v>2</v>
      </c>
      <c r="E106" t="s">
        <v>237</v>
      </c>
    </row>
    <row r="107" spans="1:5">
      <c r="A107" t="s">
        <v>233</v>
      </c>
      <c r="B107" t="s">
        <v>238</v>
      </c>
      <c r="C107" s="1" t="s">
        <v>81</v>
      </c>
      <c r="D107">
        <v>3</v>
      </c>
      <c r="E107" t="s">
        <v>239</v>
      </c>
    </row>
    <row r="108" spans="1:5">
      <c r="A108" t="s">
        <v>233</v>
      </c>
      <c r="B108" t="s">
        <v>240</v>
      </c>
      <c r="C108" s="1" t="s">
        <v>81</v>
      </c>
      <c r="D108">
        <v>3</v>
      </c>
      <c r="E108" t="s">
        <v>241</v>
      </c>
    </row>
    <row r="109" spans="1:5">
      <c r="A109" t="s">
        <v>233</v>
      </c>
      <c r="B109" t="s">
        <v>242</v>
      </c>
      <c r="C109" s="2" t="s">
        <v>95</v>
      </c>
      <c r="D109">
        <v>2</v>
      </c>
      <c r="E109" t="s">
        <v>243</v>
      </c>
    </row>
    <row r="110" spans="1:5">
      <c r="A110" t="s">
        <v>233</v>
      </c>
      <c r="B110" t="s">
        <v>244</v>
      </c>
      <c r="C110" s="2" t="s">
        <v>95</v>
      </c>
      <c r="D110">
        <v>3</v>
      </c>
      <c r="E110" t="s">
        <v>245</v>
      </c>
    </row>
    <row r="111" spans="1:5">
      <c r="A111" t="s">
        <v>233</v>
      </c>
      <c r="B111" t="s">
        <v>246</v>
      </c>
      <c r="C111" s="2" t="s">
        <v>95</v>
      </c>
      <c r="D111">
        <v>4</v>
      </c>
      <c r="E111" t="s">
        <v>247</v>
      </c>
    </row>
    <row r="112" spans="1:5">
      <c r="A112" t="s">
        <v>233</v>
      </c>
      <c r="B112" t="s">
        <v>248</v>
      </c>
      <c r="C112" s="2" t="s">
        <v>95</v>
      </c>
      <c r="D112">
        <v>6</v>
      </c>
      <c r="E112" t="s">
        <v>249</v>
      </c>
    </row>
    <row r="117" spans="1:5">
      <c r="A117" t="s">
        <v>77</v>
      </c>
      <c r="B117" t="s">
        <v>0</v>
      </c>
      <c r="C117" t="s">
        <v>78</v>
      </c>
      <c r="D117" t="s">
        <v>250</v>
      </c>
      <c r="E117" t="s">
        <v>251</v>
      </c>
    </row>
    <row r="118" spans="1:5">
      <c r="A118" t="s">
        <v>80</v>
      </c>
      <c r="B118" t="s">
        <v>252</v>
      </c>
      <c r="C118" s="2" t="s">
        <v>95</v>
      </c>
      <c r="D118" t="s">
        <v>253</v>
      </c>
      <c r="E118" t="s">
        <v>254</v>
      </c>
    </row>
    <row r="119" spans="1:5">
      <c r="A119" t="s">
        <v>80</v>
      </c>
      <c r="B119" t="s">
        <v>255</v>
      </c>
      <c r="C119" s="2" t="s">
        <v>95</v>
      </c>
      <c r="D119" t="s">
        <v>253</v>
      </c>
      <c r="E119" t="s">
        <v>256</v>
      </c>
    </row>
    <row r="120" spans="1:5">
      <c r="A120" t="s">
        <v>80</v>
      </c>
      <c r="B120" t="s">
        <v>257</v>
      </c>
      <c r="C120" s="1" t="s">
        <v>81</v>
      </c>
      <c r="D120" t="s">
        <v>258</v>
      </c>
      <c r="E120" t="s">
        <v>259</v>
      </c>
    </row>
    <row r="121" spans="1:5">
      <c r="A121" t="s">
        <v>80</v>
      </c>
      <c r="B121" t="s">
        <v>260</v>
      </c>
      <c r="C121" s="1" t="s">
        <v>81</v>
      </c>
      <c r="D121" t="s">
        <v>258</v>
      </c>
      <c r="E121" t="s">
        <v>261</v>
      </c>
    </row>
    <row r="122" spans="1:5">
      <c r="A122" t="s">
        <v>80</v>
      </c>
      <c r="B122" t="s">
        <v>262</v>
      </c>
      <c r="C122" s="2" t="s">
        <v>95</v>
      </c>
      <c r="D122" t="s">
        <v>258</v>
      </c>
      <c r="E122" t="s">
        <v>263</v>
      </c>
    </row>
    <row r="123" spans="1:5">
      <c r="A123" t="s">
        <v>80</v>
      </c>
      <c r="B123" t="s">
        <v>264</v>
      </c>
      <c r="C123" s="2" t="s">
        <v>95</v>
      </c>
      <c r="D123" t="s">
        <v>258</v>
      </c>
      <c r="E123" t="s">
        <v>265</v>
      </c>
    </row>
    <row r="124" spans="1:5">
      <c r="A124" t="s">
        <v>117</v>
      </c>
      <c r="B124" t="s">
        <v>266</v>
      </c>
      <c r="C124" s="2" t="s">
        <v>95</v>
      </c>
      <c r="D124" t="s">
        <v>253</v>
      </c>
      <c r="E124" t="s">
        <v>267</v>
      </c>
    </row>
    <row r="125" spans="1:5">
      <c r="A125" t="s">
        <v>117</v>
      </c>
      <c r="B125" t="s">
        <v>268</v>
      </c>
      <c r="C125" s="2" t="s">
        <v>95</v>
      </c>
      <c r="D125" t="s">
        <v>253</v>
      </c>
      <c r="E125" t="s">
        <v>269</v>
      </c>
    </row>
    <row r="126" spans="1:5">
      <c r="A126" t="s">
        <v>117</v>
      </c>
      <c r="B126" t="s">
        <v>270</v>
      </c>
      <c r="C126" s="2" t="s">
        <v>95</v>
      </c>
      <c r="D126" t="s">
        <v>258</v>
      </c>
      <c r="E126" t="s">
        <v>271</v>
      </c>
    </row>
    <row r="127" spans="1:5">
      <c r="A127" t="s">
        <v>117</v>
      </c>
      <c r="B127" t="s">
        <v>272</v>
      </c>
      <c r="C127" s="2" t="s">
        <v>95</v>
      </c>
      <c r="D127" t="s">
        <v>258</v>
      </c>
      <c r="E127" t="s">
        <v>273</v>
      </c>
    </row>
    <row r="128" spans="1:5">
      <c r="A128" t="s">
        <v>117</v>
      </c>
      <c r="B128" t="s">
        <v>274</v>
      </c>
      <c r="C128" s="2" t="s">
        <v>95</v>
      </c>
      <c r="D128" t="s">
        <v>258</v>
      </c>
      <c r="E128" t="s">
        <v>275</v>
      </c>
    </row>
    <row r="129" spans="1:5">
      <c r="A129" t="s">
        <v>117</v>
      </c>
      <c r="B129" t="s">
        <v>276</v>
      </c>
      <c r="C129" s="5" t="s">
        <v>111</v>
      </c>
      <c r="D129" t="s">
        <v>258</v>
      </c>
      <c r="E129" t="s">
        <v>277</v>
      </c>
    </row>
    <row r="130" spans="1:5">
      <c r="A130" t="s">
        <v>117</v>
      </c>
      <c r="B130" t="s">
        <v>278</v>
      </c>
      <c r="C130" s="5" t="s">
        <v>111</v>
      </c>
      <c r="D130" t="s">
        <v>258</v>
      </c>
      <c r="E130" t="s">
        <v>279</v>
      </c>
    </row>
    <row r="131" spans="1:5">
      <c r="A131" t="s">
        <v>145</v>
      </c>
      <c r="B131" t="s">
        <v>280</v>
      </c>
      <c r="C131" s="1" t="s">
        <v>81</v>
      </c>
      <c r="D131" t="s">
        <v>253</v>
      </c>
      <c r="E131" t="s">
        <v>281</v>
      </c>
    </row>
    <row r="132" spans="1:5">
      <c r="A132" t="s">
        <v>145</v>
      </c>
      <c r="B132" t="s">
        <v>282</v>
      </c>
      <c r="C132" s="2" t="s">
        <v>95</v>
      </c>
      <c r="D132" t="s">
        <v>253</v>
      </c>
      <c r="E132" t="s">
        <v>283</v>
      </c>
    </row>
    <row r="133" spans="1:5">
      <c r="A133" t="s">
        <v>145</v>
      </c>
      <c r="B133" t="s">
        <v>284</v>
      </c>
      <c r="C133" s="5" t="s">
        <v>111</v>
      </c>
      <c r="D133" t="s">
        <v>253</v>
      </c>
      <c r="E133" t="s">
        <v>285</v>
      </c>
    </row>
    <row r="134" spans="1:5">
      <c r="A134" t="s">
        <v>145</v>
      </c>
      <c r="B134" t="s">
        <v>286</v>
      </c>
      <c r="C134" s="2" t="s">
        <v>95</v>
      </c>
      <c r="D134" t="s">
        <v>258</v>
      </c>
      <c r="E134" t="s">
        <v>287</v>
      </c>
    </row>
    <row r="135" spans="1:5">
      <c r="A135" t="s">
        <v>145</v>
      </c>
      <c r="B135" t="s">
        <v>288</v>
      </c>
      <c r="C135" s="2" t="s">
        <v>95</v>
      </c>
      <c r="D135" t="s">
        <v>258</v>
      </c>
      <c r="E135" t="s">
        <v>289</v>
      </c>
    </row>
    <row r="136" spans="1:5">
      <c r="A136" t="s">
        <v>163</v>
      </c>
      <c r="B136" t="s">
        <v>290</v>
      </c>
      <c r="C136" s="1" t="s">
        <v>81</v>
      </c>
      <c r="D136" t="s">
        <v>253</v>
      </c>
      <c r="E136" t="s">
        <v>291</v>
      </c>
    </row>
    <row r="137" spans="1:5">
      <c r="A137" t="s">
        <v>163</v>
      </c>
      <c r="B137" t="s">
        <v>292</v>
      </c>
      <c r="C137" s="1" t="s">
        <v>81</v>
      </c>
      <c r="D137" t="s">
        <v>253</v>
      </c>
      <c r="E137" t="s">
        <v>293</v>
      </c>
    </row>
    <row r="138" spans="1:5">
      <c r="A138" t="s">
        <v>163</v>
      </c>
      <c r="B138" t="s">
        <v>294</v>
      </c>
      <c r="C138" s="2" t="s">
        <v>95</v>
      </c>
      <c r="D138" t="s">
        <v>253</v>
      </c>
      <c r="E138" t="s">
        <v>295</v>
      </c>
    </row>
    <row r="139" spans="1:5">
      <c r="A139" t="s">
        <v>163</v>
      </c>
      <c r="B139" t="s">
        <v>296</v>
      </c>
      <c r="C139" s="5" t="s">
        <v>111</v>
      </c>
      <c r="D139" t="s">
        <v>253</v>
      </c>
      <c r="E139" t="s">
        <v>297</v>
      </c>
    </row>
    <row r="140" spans="1:5">
      <c r="A140" t="s">
        <v>163</v>
      </c>
      <c r="B140" t="s">
        <v>298</v>
      </c>
      <c r="C140" s="2" t="s">
        <v>95</v>
      </c>
      <c r="D140" t="s">
        <v>258</v>
      </c>
      <c r="E140" t="s">
        <v>299</v>
      </c>
    </row>
    <row r="141" spans="1:5">
      <c r="A141" t="s">
        <v>163</v>
      </c>
      <c r="B141" t="s">
        <v>300</v>
      </c>
      <c r="C141" s="2" t="s">
        <v>95</v>
      </c>
      <c r="D141" t="s">
        <v>258</v>
      </c>
      <c r="E141" t="s">
        <v>301</v>
      </c>
    </row>
    <row r="142" spans="1:5">
      <c r="A142" t="s">
        <v>163</v>
      </c>
      <c r="B142" t="s">
        <v>302</v>
      </c>
      <c r="C142" s="5" t="s">
        <v>111</v>
      </c>
      <c r="D142" t="s">
        <v>258</v>
      </c>
      <c r="E142" t="s">
        <v>303</v>
      </c>
    </row>
    <row r="143" spans="1:5">
      <c r="A143" t="s">
        <v>185</v>
      </c>
      <c r="B143" t="s">
        <v>304</v>
      </c>
      <c r="C143" s="2" t="s">
        <v>95</v>
      </c>
      <c r="D143" t="s">
        <v>253</v>
      </c>
      <c r="E143" t="s">
        <v>305</v>
      </c>
    </row>
    <row r="144" spans="1:5">
      <c r="A144" t="s">
        <v>185</v>
      </c>
      <c r="B144" t="s">
        <v>306</v>
      </c>
      <c r="C144" s="2" t="s">
        <v>95</v>
      </c>
      <c r="D144" t="s">
        <v>253</v>
      </c>
      <c r="E144" t="s">
        <v>307</v>
      </c>
    </row>
    <row r="145" spans="1:5">
      <c r="A145" t="s">
        <v>185</v>
      </c>
      <c r="B145" t="s">
        <v>308</v>
      </c>
      <c r="C145" s="2" t="s">
        <v>95</v>
      </c>
      <c r="D145" t="s">
        <v>258</v>
      </c>
      <c r="E145" t="s">
        <v>309</v>
      </c>
    </row>
    <row r="146" spans="1:5">
      <c r="A146" t="s">
        <v>198</v>
      </c>
      <c r="B146" t="s">
        <v>310</v>
      </c>
      <c r="C146" s="1" t="s">
        <v>81</v>
      </c>
      <c r="D146" t="s">
        <v>253</v>
      </c>
      <c r="E146" t="s">
        <v>311</v>
      </c>
    </row>
    <row r="147" spans="1:5">
      <c r="A147" t="s">
        <v>198</v>
      </c>
      <c r="B147" t="s">
        <v>312</v>
      </c>
      <c r="C147" s="1" t="s">
        <v>81</v>
      </c>
      <c r="D147" t="s">
        <v>253</v>
      </c>
      <c r="E147" t="s">
        <v>313</v>
      </c>
    </row>
    <row r="148" spans="1:5">
      <c r="A148" t="s">
        <v>198</v>
      </c>
      <c r="B148" t="s">
        <v>314</v>
      </c>
      <c r="C148" s="2" t="s">
        <v>95</v>
      </c>
      <c r="D148" t="s">
        <v>253</v>
      </c>
      <c r="E148" t="s">
        <v>315</v>
      </c>
    </row>
    <row r="149" spans="1:5">
      <c r="A149" t="s">
        <v>198</v>
      </c>
      <c r="B149" t="s">
        <v>316</v>
      </c>
      <c r="C149" s="5" t="s">
        <v>111</v>
      </c>
      <c r="D149" t="s">
        <v>253</v>
      </c>
      <c r="E149" t="s">
        <v>317</v>
      </c>
    </row>
    <row r="150" spans="1:5">
      <c r="A150" t="s">
        <v>198</v>
      </c>
      <c r="B150" t="s">
        <v>318</v>
      </c>
      <c r="C150" s="1" t="s">
        <v>81</v>
      </c>
      <c r="D150" t="s">
        <v>258</v>
      </c>
      <c r="E150" t="s">
        <v>319</v>
      </c>
    </row>
    <row r="151" spans="1:5">
      <c r="A151" t="s">
        <v>198</v>
      </c>
      <c r="B151" t="s">
        <v>320</v>
      </c>
      <c r="C151" s="1" t="s">
        <v>81</v>
      </c>
      <c r="D151" t="s">
        <v>258</v>
      </c>
      <c r="E151" t="s">
        <v>321</v>
      </c>
    </row>
    <row r="152" spans="1:5">
      <c r="A152" t="s">
        <v>198</v>
      </c>
      <c r="B152" t="s">
        <v>322</v>
      </c>
      <c r="C152" s="1" t="s">
        <v>81</v>
      </c>
      <c r="D152" t="s">
        <v>258</v>
      </c>
      <c r="E152" t="s">
        <v>323</v>
      </c>
    </row>
    <row r="153" spans="1:5">
      <c r="A153" t="s">
        <v>198</v>
      </c>
      <c r="B153" t="s">
        <v>324</v>
      </c>
      <c r="C153" s="2" t="s">
        <v>95</v>
      </c>
      <c r="D153" t="s">
        <v>258</v>
      </c>
      <c r="E153" t="s">
        <v>325</v>
      </c>
    </row>
    <row r="154" spans="1:5">
      <c r="A154" t="s">
        <v>233</v>
      </c>
      <c r="B154" t="s">
        <v>326</v>
      </c>
      <c r="C154" s="1" t="s">
        <v>81</v>
      </c>
      <c r="D154" t="s">
        <v>258</v>
      </c>
      <c r="E154" t="s">
        <v>327</v>
      </c>
    </row>
    <row r="155" spans="1:5">
      <c r="A155" t="s">
        <v>233</v>
      </c>
      <c r="B155" t="s">
        <v>328</v>
      </c>
      <c r="C155" s="2" t="s">
        <v>95</v>
      </c>
      <c r="D155" t="s">
        <v>258</v>
      </c>
      <c r="E155" t="s">
        <v>329</v>
      </c>
    </row>
    <row r="156" spans="1:5">
      <c r="A156" t="s">
        <v>233</v>
      </c>
      <c r="B156" t="s">
        <v>330</v>
      </c>
      <c r="C156" s="2" t="s">
        <v>95</v>
      </c>
      <c r="D156" t="s">
        <v>258</v>
      </c>
      <c r="E156" t="s">
        <v>331</v>
      </c>
    </row>
    <row r="157" spans="1:5">
      <c r="A157" t="s">
        <v>233</v>
      </c>
      <c r="B157" t="s">
        <v>332</v>
      </c>
      <c r="C157" s="2" t="s">
        <v>95</v>
      </c>
      <c r="D157" t="s">
        <v>258</v>
      </c>
      <c r="E157" t="s">
        <v>333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77</v>
      </c>
      <c r="B1" t="s">
        <v>0</v>
      </c>
      <c r="C1" t="s">
        <v>78</v>
      </c>
      <c r="D1" t="s">
        <v>1</v>
      </c>
      <c r="E1" t="s">
        <v>79</v>
      </c>
    </row>
    <row r="2" spans="1:5">
      <c r="A2" t="s">
        <v>80</v>
      </c>
      <c r="B2" t="s">
        <v>334</v>
      </c>
      <c r="C2" s="4" t="s">
        <v>335</v>
      </c>
      <c r="D2">
        <v>3</v>
      </c>
      <c r="E2" t="s">
        <v>336</v>
      </c>
    </row>
    <row r="3" spans="1:5">
      <c r="A3" t="s">
        <v>80</v>
      </c>
      <c r="B3" t="s">
        <v>337</v>
      </c>
      <c r="C3" s="1" t="s">
        <v>81</v>
      </c>
      <c r="D3">
        <v>1</v>
      </c>
      <c r="E3" t="s">
        <v>338</v>
      </c>
    </row>
    <row r="4" spans="1:5">
      <c r="A4" t="s">
        <v>80</v>
      </c>
      <c r="B4" t="s">
        <v>339</v>
      </c>
      <c r="C4" s="1" t="s">
        <v>81</v>
      </c>
      <c r="D4">
        <v>2</v>
      </c>
      <c r="E4" t="s">
        <v>340</v>
      </c>
    </row>
    <row r="5" spans="1:5">
      <c r="A5" t="s">
        <v>80</v>
      </c>
      <c r="B5" t="s">
        <v>341</v>
      </c>
      <c r="C5" s="1" t="s">
        <v>81</v>
      </c>
      <c r="D5">
        <v>3</v>
      </c>
      <c r="E5" t="s">
        <v>342</v>
      </c>
    </row>
    <row r="6" spans="1:5">
      <c r="A6" t="s">
        <v>80</v>
      </c>
      <c r="B6" t="s">
        <v>343</v>
      </c>
      <c r="C6" s="1" t="s">
        <v>81</v>
      </c>
      <c r="D6">
        <v>3</v>
      </c>
      <c r="E6" t="s">
        <v>344</v>
      </c>
    </row>
    <row r="7" spans="1:5">
      <c r="A7" t="s">
        <v>80</v>
      </c>
      <c r="B7" t="s">
        <v>345</v>
      </c>
      <c r="C7" s="1" t="s">
        <v>81</v>
      </c>
      <c r="D7">
        <v>4</v>
      </c>
      <c r="E7" t="s">
        <v>346</v>
      </c>
    </row>
    <row r="8" spans="1:5">
      <c r="A8" t="s">
        <v>80</v>
      </c>
      <c r="B8" t="s">
        <v>11</v>
      </c>
      <c r="C8" s="2" t="s">
        <v>95</v>
      </c>
      <c r="D8">
        <v>1</v>
      </c>
      <c r="E8" t="s">
        <v>347</v>
      </c>
    </row>
    <row r="9" spans="1:5">
      <c r="A9" t="s">
        <v>80</v>
      </c>
      <c r="B9" t="s">
        <v>348</v>
      </c>
      <c r="C9" s="2" t="s">
        <v>95</v>
      </c>
      <c r="D9">
        <v>1</v>
      </c>
      <c r="E9" t="s">
        <v>349</v>
      </c>
    </row>
    <row r="10" spans="1:5">
      <c r="A10" t="s">
        <v>80</v>
      </c>
      <c r="B10" t="s">
        <v>350</v>
      </c>
      <c r="C10" s="2" t="s">
        <v>95</v>
      </c>
      <c r="D10">
        <v>2</v>
      </c>
      <c r="E10" t="s">
        <v>351</v>
      </c>
    </row>
    <row r="11" spans="1:5">
      <c r="A11" t="s">
        <v>80</v>
      </c>
      <c r="B11" t="s">
        <v>352</v>
      </c>
      <c r="C11" s="2" t="s">
        <v>95</v>
      </c>
      <c r="D11">
        <v>2</v>
      </c>
      <c r="E11" t="s">
        <v>353</v>
      </c>
    </row>
    <row r="12" spans="1:5">
      <c r="A12" t="s">
        <v>80</v>
      </c>
      <c r="B12" t="s">
        <v>354</v>
      </c>
      <c r="C12" s="2" t="s">
        <v>95</v>
      </c>
      <c r="D12">
        <v>3</v>
      </c>
      <c r="E12" t="s">
        <v>355</v>
      </c>
    </row>
    <row r="13" spans="1:5">
      <c r="A13" t="s">
        <v>80</v>
      </c>
      <c r="B13" t="s">
        <v>97</v>
      </c>
      <c r="C13" s="2" t="s">
        <v>95</v>
      </c>
      <c r="D13">
        <v>3</v>
      </c>
      <c r="E13" t="s">
        <v>98</v>
      </c>
    </row>
    <row r="14" spans="1:5">
      <c r="A14" t="s">
        <v>80</v>
      </c>
      <c r="B14" t="s">
        <v>99</v>
      </c>
      <c r="C14" s="2" t="s">
        <v>95</v>
      </c>
      <c r="D14">
        <v>3</v>
      </c>
      <c r="E14" t="s">
        <v>100</v>
      </c>
    </row>
    <row r="15" spans="1:5">
      <c r="A15" t="s">
        <v>80</v>
      </c>
      <c r="B15" t="s">
        <v>356</v>
      </c>
      <c r="C15" s="2" t="s">
        <v>95</v>
      </c>
      <c r="D15">
        <v>4</v>
      </c>
      <c r="E15" t="s">
        <v>357</v>
      </c>
    </row>
    <row r="16" spans="1:5">
      <c r="A16" t="s">
        <v>80</v>
      </c>
      <c r="B16" t="s">
        <v>104</v>
      </c>
      <c r="C16" s="2" t="s">
        <v>95</v>
      </c>
      <c r="D16">
        <v>4</v>
      </c>
      <c r="E16" t="s">
        <v>105</v>
      </c>
    </row>
    <row r="17" spans="1:5">
      <c r="A17" t="s">
        <v>80</v>
      </c>
      <c r="B17" t="s">
        <v>358</v>
      </c>
      <c r="C17" s="2" t="s">
        <v>95</v>
      </c>
      <c r="D17">
        <v>4</v>
      </c>
      <c r="E17" t="s">
        <v>359</v>
      </c>
    </row>
    <row r="18" spans="1:5">
      <c r="A18" t="s">
        <v>80</v>
      </c>
      <c r="B18" t="s">
        <v>360</v>
      </c>
      <c r="C18" s="2" t="s">
        <v>95</v>
      </c>
      <c r="D18">
        <v>5</v>
      </c>
      <c r="E18" t="s">
        <v>361</v>
      </c>
    </row>
    <row r="19" spans="1:5">
      <c r="A19" t="s">
        <v>80</v>
      </c>
      <c r="B19" t="s">
        <v>362</v>
      </c>
      <c r="C19" s="2" t="s">
        <v>95</v>
      </c>
      <c r="D19">
        <v>6</v>
      </c>
      <c r="E19" t="s">
        <v>363</v>
      </c>
    </row>
    <row r="20" spans="1:5">
      <c r="A20" t="s">
        <v>80</v>
      </c>
      <c r="B20" t="s">
        <v>109</v>
      </c>
      <c r="C20" s="2" t="s">
        <v>95</v>
      </c>
      <c r="D20">
        <v>6</v>
      </c>
      <c r="E20" t="s">
        <v>110</v>
      </c>
    </row>
    <row r="21" spans="1:5">
      <c r="A21" t="s">
        <v>80</v>
      </c>
      <c r="B21" t="s">
        <v>364</v>
      </c>
      <c r="C21" s="2" t="s">
        <v>95</v>
      </c>
      <c r="D21">
        <v>7</v>
      </c>
      <c r="E21" t="s">
        <v>365</v>
      </c>
    </row>
    <row r="22" spans="1:5">
      <c r="A22" t="s">
        <v>80</v>
      </c>
      <c r="B22" t="s">
        <v>366</v>
      </c>
      <c r="C22" s="2" t="s">
        <v>95</v>
      </c>
      <c r="D22">
        <v>7</v>
      </c>
      <c r="E22" t="s">
        <v>367</v>
      </c>
    </row>
    <row r="23" spans="1:5">
      <c r="A23" t="s">
        <v>80</v>
      </c>
      <c r="B23" t="s">
        <v>368</v>
      </c>
      <c r="C23" s="2" t="s">
        <v>95</v>
      </c>
      <c r="D23">
        <v>8</v>
      </c>
      <c r="E23" t="s">
        <v>369</v>
      </c>
    </row>
    <row r="24" spans="1:5">
      <c r="A24" t="s">
        <v>80</v>
      </c>
      <c r="B24" t="s">
        <v>370</v>
      </c>
      <c r="C24" s="5" t="s">
        <v>111</v>
      </c>
      <c r="D24">
        <v>4</v>
      </c>
      <c r="E24" t="s">
        <v>114</v>
      </c>
    </row>
    <row r="25" spans="1:5">
      <c r="A25" t="s">
        <v>80</v>
      </c>
      <c r="B25" t="s">
        <v>61</v>
      </c>
      <c r="C25" s="5" t="s">
        <v>111</v>
      </c>
      <c r="D25">
        <v>4</v>
      </c>
      <c r="E25" t="s">
        <v>371</v>
      </c>
    </row>
    <row r="26" spans="1:5">
      <c r="A26" t="s">
        <v>80</v>
      </c>
      <c r="B26" t="s">
        <v>372</v>
      </c>
      <c r="C26" s="5" t="s">
        <v>111</v>
      </c>
      <c r="D26">
        <v>5</v>
      </c>
      <c r="E26" t="s">
        <v>373</v>
      </c>
    </row>
    <row r="27" spans="1:5">
      <c r="A27" t="s">
        <v>80</v>
      </c>
      <c r="B27" t="s">
        <v>65</v>
      </c>
      <c r="C27" s="5" t="s">
        <v>111</v>
      </c>
      <c r="D27">
        <v>8</v>
      </c>
      <c r="E27" t="s">
        <v>374</v>
      </c>
    </row>
    <row r="28" spans="1:5">
      <c r="A28" t="s">
        <v>80</v>
      </c>
      <c r="B28" t="s">
        <v>375</v>
      </c>
      <c r="C28" s="5" t="s">
        <v>111</v>
      </c>
      <c r="D28">
        <v>9</v>
      </c>
      <c r="E28" t="s">
        <v>376</v>
      </c>
    </row>
    <row r="31" spans="1:5">
      <c r="A31" t="s">
        <v>117</v>
      </c>
      <c r="B31" t="s">
        <v>123</v>
      </c>
      <c r="C31" s="1" t="s">
        <v>81</v>
      </c>
      <c r="D31">
        <v>4</v>
      </c>
      <c r="E31" t="s">
        <v>124</v>
      </c>
    </row>
    <row r="32" spans="1:5">
      <c r="A32" t="s">
        <v>117</v>
      </c>
      <c r="B32" t="s">
        <v>377</v>
      </c>
      <c r="C32" s="1" t="s">
        <v>81</v>
      </c>
      <c r="D32">
        <v>5</v>
      </c>
      <c r="E32" t="s">
        <v>378</v>
      </c>
    </row>
    <row r="33" spans="1:5">
      <c r="A33" t="s">
        <v>117</v>
      </c>
      <c r="B33" t="s">
        <v>379</v>
      </c>
      <c r="C33" s="1" t="s">
        <v>81</v>
      </c>
      <c r="D33">
        <v>5</v>
      </c>
      <c r="E33" t="s">
        <v>380</v>
      </c>
    </row>
    <row r="34" spans="1:5">
      <c r="A34" t="s">
        <v>117</v>
      </c>
      <c r="B34" t="s">
        <v>381</v>
      </c>
      <c r="C34" s="2" t="s">
        <v>95</v>
      </c>
      <c r="D34">
        <v>3</v>
      </c>
      <c r="E34" t="s">
        <v>382</v>
      </c>
    </row>
    <row r="35" spans="1:5">
      <c r="A35" t="s">
        <v>117</v>
      </c>
      <c r="B35" t="s">
        <v>139</v>
      </c>
      <c r="C35" s="2" t="s">
        <v>95</v>
      </c>
      <c r="D35">
        <v>4</v>
      </c>
      <c r="E35" t="s">
        <v>140</v>
      </c>
    </row>
    <row r="36" spans="1:5">
      <c r="A36" t="s">
        <v>117</v>
      </c>
      <c r="B36" t="s">
        <v>383</v>
      </c>
      <c r="C36" s="2" t="s">
        <v>95</v>
      </c>
      <c r="D36">
        <v>7</v>
      </c>
      <c r="E36" t="s">
        <v>384</v>
      </c>
    </row>
    <row r="37" spans="1:5">
      <c r="A37" t="s">
        <v>117</v>
      </c>
      <c r="B37" t="s">
        <v>32</v>
      </c>
      <c r="C37" s="2" t="s">
        <v>95</v>
      </c>
      <c r="D37">
        <v>7</v>
      </c>
      <c r="E37" t="s">
        <v>142</v>
      </c>
    </row>
    <row r="38" spans="1:5">
      <c r="A38" t="s">
        <v>117</v>
      </c>
      <c r="B38" t="s">
        <v>385</v>
      </c>
      <c r="C38" s="2" t="s">
        <v>95</v>
      </c>
      <c r="D38">
        <v>8</v>
      </c>
      <c r="E38" t="s">
        <v>386</v>
      </c>
    </row>
    <row r="39" spans="1:5">
      <c r="A39" t="s">
        <v>117</v>
      </c>
      <c r="B39" t="s">
        <v>387</v>
      </c>
      <c r="C39" s="5" t="s">
        <v>111</v>
      </c>
      <c r="D39">
        <v>2</v>
      </c>
      <c r="E39" t="s">
        <v>388</v>
      </c>
    </row>
    <row r="40" spans="1:5">
      <c r="A40" t="s">
        <v>117</v>
      </c>
      <c r="B40" t="s">
        <v>389</v>
      </c>
      <c r="C40" s="5" t="s">
        <v>111</v>
      </c>
      <c r="D40">
        <v>3</v>
      </c>
      <c r="E40" t="s">
        <v>390</v>
      </c>
    </row>
    <row r="43" spans="1:5">
      <c r="A43" t="s">
        <v>145</v>
      </c>
      <c r="B43" t="s">
        <v>391</v>
      </c>
      <c r="C43" s="1" t="s">
        <v>81</v>
      </c>
      <c r="D43">
        <v>3</v>
      </c>
      <c r="E43" t="s">
        <v>392</v>
      </c>
    </row>
    <row r="44" spans="1:5">
      <c r="A44" t="s">
        <v>145</v>
      </c>
      <c r="B44" t="s">
        <v>393</v>
      </c>
      <c r="C44" s="1" t="s">
        <v>81</v>
      </c>
      <c r="D44">
        <v>4</v>
      </c>
      <c r="E44" t="s">
        <v>394</v>
      </c>
    </row>
    <row r="45" spans="1:5">
      <c r="A45" t="s">
        <v>145</v>
      </c>
      <c r="B45" t="s">
        <v>395</v>
      </c>
      <c r="C45" s="2" t="s">
        <v>95</v>
      </c>
      <c r="D45">
        <v>2</v>
      </c>
      <c r="E45" t="s">
        <v>396</v>
      </c>
    </row>
    <row r="46" spans="1:5">
      <c r="A46" t="s">
        <v>145</v>
      </c>
      <c r="B46" t="s">
        <v>397</v>
      </c>
      <c r="C46" s="2" t="s">
        <v>95</v>
      </c>
      <c r="D46">
        <v>4</v>
      </c>
      <c r="E46" t="s">
        <v>398</v>
      </c>
    </row>
    <row r="47" spans="1:5">
      <c r="A47" t="s">
        <v>145</v>
      </c>
      <c r="B47" t="s">
        <v>399</v>
      </c>
      <c r="C47" s="2" t="s">
        <v>95</v>
      </c>
      <c r="D47">
        <v>4</v>
      </c>
      <c r="E47" t="s">
        <v>400</v>
      </c>
    </row>
    <row r="48" spans="1:5">
      <c r="A48" t="s">
        <v>145</v>
      </c>
      <c r="B48" t="s">
        <v>401</v>
      </c>
      <c r="C48" s="2" t="s">
        <v>95</v>
      </c>
      <c r="D48">
        <v>6</v>
      </c>
      <c r="E48" t="s">
        <v>402</v>
      </c>
    </row>
    <row r="49" spans="1:5">
      <c r="A49" t="s">
        <v>145</v>
      </c>
      <c r="B49" t="s">
        <v>75</v>
      </c>
      <c r="C49" s="5" t="s">
        <v>111</v>
      </c>
      <c r="D49">
        <v>4</v>
      </c>
      <c r="E49" t="s">
        <v>403</v>
      </c>
    </row>
    <row r="50" spans="1:5">
      <c r="A50" t="s">
        <v>145</v>
      </c>
      <c r="B50" t="s">
        <v>404</v>
      </c>
      <c r="C50" s="5" t="s">
        <v>111</v>
      </c>
      <c r="D50">
        <v>6</v>
      </c>
      <c r="E50" t="s">
        <v>405</v>
      </c>
    </row>
    <row r="53" spans="1:5">
      <c r="A53" t="s">
        <v>406</v>
      </c>
      <c r="B53" t="s">
        <v>407</v>
      </c>
      <c r="C53" s="1" t="s">
        <v>81</v>
      </c>
      <c r="D53">
        <v>3</v>
      </c>
      <c r="E53" t="s">
        <v>408</v>
      </c>
    </row>
    <row r="54" spans="1:5">
      <c r="A54" t="s">
        <v>406</v>
      </c>
      <c r="B54" t="s">
        <v>409</v>
      </c>
      <c r="C54" s="5" t="s">
        <v>111</v>
      </c>
      <c r="D54">
        <v>4</v>
      </c>
      <c r="E54" t="s">
        <v>410</v>
      </c>
    </row>
    <row r="57" spans="1:5">
      <c r="A57" t="s">
        <v>185</v>
      </c>
      <c r="B57" t="s">
        <v>411</v>
      </c>
      <c r="C57" s="1" t="s">
        <v>81</v>
      </c>
      <c r="D57">
        <v>2</v>
      </c>
      <c r="E57" t="s">
        <v>412</v>
      </c>
    </row>
    <row r="58" spans="1:5">
      <c r="A58" t="s">
        <v>185</v>
      </c>
      <c r="B58" t="s">
        <v>413</v>
      </c>
      <c r="C58" s="1" t="s">
        <v>81</v>
      </c>
      <c r="D58">
        <v>4</v>
      </c>
      <c r="E58" t="s">
        <v>414</v>
      </c>
    </row>
    <row r="59" spans="1:5">
      <c r="A59" t="s">
        <v>185</v>
      </c>
      <c r="B59" t="s">
        <v>415</v>
      </c>
      <c r="C59" s="2" t="s">
        <v>95</v>
      </c>
      <c r="D59">
        <v>2</v>
      </c>
      <c r="E59" t="s">
        <v>416</v>
      </c>
    </row>
    <row r="60" spans="1:5">
      <c r="A60" t="s">
        <v>185</v>
      </c>
      <c r="B60" t="s">
        <v>194</v>
      </c>
      <c r="C60" s="2" t="s">
        <v>95</v>
      </c>
      <c r="D60">
        <v>3</v>
      </c>
      <c r="E60" t="s">
        <v>195</v>
      </c>
    </row>
    <row r="61" customFormat="1" spans="1:5">
      <c r="A61" t="s">
        <v>185</v>
      </c>
      <c r="B61" t="s">
        <v>417</v>
      </c>
      <c r="C61" s="2" t="s">
        <v>95</v>
      </c>
      <c r="D61">
        <v>3</v>
      </c>
      <c r="E61" t="s">
        <v>418</v>
      </c>
    </row>
    <row r="62" customFormat="1" spans="1:5">
      <c r="A62" t="s">
        <v>185</v>
      </c>
      <c r="B62" t="s">
        <v>419</v>
      </c>
      <c r="C62" s="2" t="s">
        <v>95</v>
      </c>
      <c r="D62">
        <v>5</v>
      </c>
      <c r="E62" t="s">
        <v>420</v>
      </c>
    </row>
    <row r="63" customFormat="1" spans="1:5">
      <c r="A63" t="s">
        <v>185</v>
      </c>
      <c r="B63" t="s">
        <v>421</v>
      </c>
      <c r="C63" s="5" t="s">
        <v>111</v>
      </c>
      <c r="D63">
        <v>3</v>
      </c>
      <c r="E63" t="s">
        <v>422</v>
      </c>
    </row>
    <row r="64" customFormat="1" spans="1:5">
      <c r="A64" t="s">
        <v>185</v>
      </c>
      <c r="B64" t="s">
        <v>423</v>
      </c>
      <c r="C64" s="5" t="s">
        <v>111</v>
      </c>
      <c r="D64">
        <v>4</v>
      </c>
      <c r="E64" t="s">
        <v>424</v>
      </c>
    </row>
    <row r="65" customFormat="1" spans="1:5">
      <c r="A65" t="s">
        <v>185</v>
      </c>
      <c r="B65" t="s">
        <v>425</v>
      </c>
      <c r="C65" s="5" t="s">
        <v>111</v>
      </c>
      <c r="D65">
        <v>5</v>
      </c>
      <c r="E65" t="s">
        <v>426</v>
      </c>
    </row>
    <row r="68" spans="1:5">
      <c r="A68" t="s">
        <v>198</v>
      </c>
      <c r="B68" t="s">
        <v>427</v>
      </c>
      <c r="C68" s="1" t="s">
        <v>81</v>
      </c>
      <c r="D68">
        <v>2</v>
      </c>
      <c r="E68" t="s">
        <v>428</v>
      </c>
    </row>
    <row r="69" spans="1:5">
      <c r="A69" t="s">
        <v>198</v>
      </c>
      <c r="B69" t="s">
        <v>429</v>
      </c>
      <c r="C69" s="5" t="s">
        <v>111</v>
      </c>
      <c r="D69">
        <v>9</v>
      </c>
      <c r="E69" t="s">
        <v>430</v>
      </c>
    </row>
    <row r="72" spans="1:5">
      <c r="A72" t="s">
        <v>233</v>
      </c>
      <c r="B72" t="s">
        <v>431</v>
      </c>
      <c r="C72" s="1" t="s">
        <v>81</v>
      </c>
      <c r="D72">
        <v>3</v>
      </c>
      <c r="E72" t="s">
        <v>432</v>
      </c>
    </row>
    <row r="73" spans="1:5">
      <c r="A73" t="s">
        <v>233</v>
      </c>
      <c r="B73" t="s">
        <v>433</v>
      </c>
      <c r="C73" s="2" t="s">
        <v>95</v>
      </c>
      <c r="D73">
        <v>4</v>
      </c>
      <c r="E73" t="s">
        <v>434</v>
      </c>
    </row>
    <row r="74" spans="1:5">
      <c r="A74" t="s">
        <v>233</v>
      </c>
      <c r="B74" t="s">
        <v>435</v>
      </c>
      <c r="C74" s="2" t="s">
        <v>95</v>
      </c>
      <c r="D74">
        <v>4</v>
      </c>
      <c r="E74" t="s">
        <v>436</v>
      </c>
    </row>
    <row r="75" spans="1:5">
      <c r="A75" t="s">
        <v>233</v>
      </c>
      <c r="B75" t="s">
        <v>437</v>
      </c>
      <c r="C75" s="2" t="s">
        <v>95</v>
      </c>
      <c r="D75">
        <v>5</v>
      </c>
      <c r="E75" t="s">
        <v>438</v>
      </c>
    </row>
    <row r="76" spans="1:5">
      <c r="A76" t="s">
        <v>233</v>
      </c>
      <c r="B76" t="s">
        <v>439</v>
      </c>
      <c r="C76" s="2" t="s">
        <v>95</v>
      </c>
      <c r="D76">
        <v>5</v>
      </c>
      <c r="E76" t="s">
        <v>440</v>
      </c>
    </row>
    <row r="77" spans="1:5">
      <c r="A77" t="s">
        <v>233</v>
      </c>
      <c r="B77" t="s">
        <v>441</v>
      </c>
      <c r="C77" s="5" t="s">
        <v>111</v>
      </c>
      <c r="D77">
        <v>5</v>
      </c>
      <c r="E77" t="s">
        <v>442</v>
      </c>
    </row>
    <row r="78" spans="1:5">
      <c r="A78" t="s">
        <v>233</v>
      </c>
      <c r="B78" t="s">
        <v>443</v>
      </c>
      <c r="C78" s="5" t="s">
        <v>111</v>
      </c>
      <c r="D78">
        <v>6</v>
      </c>
      <c r="E78" t="s">
        <v>444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445</v>
      </c>
      <c r="B1" t="s">
        <v>77</v>
      </c>
      <c r="C1" t="s">
        <v>446</v>
      </c>
      <c r="D1" t="s">
        <v>447</v>
      </c>
      <c r="E1" t="s">
        <v>448</v>
      </c>
      <c r="F1" t="s">
        <v>449</v>
      </c>
      <c r="G1" t="s">
        <v>450</v>
      </c>
    </row>
    <row r="2" spans="1:6">
      <c r="A2" s="1" t="s">
        <v>451</v>
      </c>
      <c r="B2" s="1" t="s">
        <v>80</v>
      </c>
      <c r="C2" s="1">
        <v>18</v>
      </c>
      <c r="D2" s="1">
        <v>2688</v>
      </c>
      <c r="E2" s="1">
        <f>2688-D2</f>
        <v>0</v>
      </c>
      <c r="F2" t="s">
        <v>452</v>
      </c>
    </row>
    <row r="3" spans="1:7">
      <c r="A3" s="1" t="s">
        <v>453</v>
      </c>
      <c r="B3" s="1" t="s">
        <v>80</v>
      </c>
      <c r="C3" s="1">
        <v>2</v>
      </c>
      <c r="D3" s="1">
        <v>4</v>
      </c>
      <c r="E3" s="1">
        <f>2688-D3</f>
        <v>2684</v>
      </c>
      <c r="F3" t="s">
        <v>454</v>
      </c>
      <c r="G3" t="s">
        <v>455</v>
      </c>
    </row>
    <row r="4" spans="1:5">
      <c r="A4" s="1" t="s">
        <v>4</v>
      </c>
      <c r="B4" s="1" t="s">
        <v>80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89</v>
      </c>
      <c r="B5" s="1" t="s">
        <v>80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456</v>
      </c>
      <c r="B6" s="1" t="s">
        <v>80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457</v>
      </c>
      <c r="B7" s="1" t="s">
        <v>80</v>
      </c>
      <c r="C7" s="1">
        <v>1</v>
      </c>
      <c r="D7" s="1">
        <v>48</v>
      </c>
      <c r="E7" s="1">
        <f t="shared" si="0"/>
        <v>2640</v>
      </c>
      <c r="F7" t="s">
        <v>458</v>
      </c>
    </row>
    <row r="8" spans="1:5">
      <c r="A8" s="1" t="s">
        <v>6</v>
      </c>
      <c r="B8" s="1" t="s">
        <v>80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459</v>
      </c>
      <c r="B9" s="1" t="s">
        <v>80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460</v>
      </c>
      <c r="B10" s="1" t="s">
        <v>80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339</v>
      </c>
      <c r="B11" s="1" t="s">
        <v>80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461</v>
      </c>
      <c r="B12" s="2" t="s">
        <v>80</v>
      </c>
      <c r="C12" s="2">
        <v>18</v>
      </c>
      <c r="D12" s="2">
        <v>1728</v>
      </c>
      <c r="E12" s="2">
        <f>1728-D12</f>
        <v>0</v>
      </c>
      <c r="F12" t="s">
        <v>452</v>
      </c>
    </row>
    <row r="13" spans="1:5">
      <c r="A13" s="2" t="s">
        <v>462</v>
      </c>
      <c r="B13" s="2" t="s">
        <v>80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97</v>
      </c>
      <c r="B14" s="2" t="s">
        <v>80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99</v>
      </c>
      <c r="B15" s="2" t="s">
        <v>80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104</v>
      </c>
      <c r="B16" s="2" t="s">
        <v>80</v>
      </c>
      <c r="C16" s="2">
        <v>14</v>
      </c>
      <c r="D16" s="2">
        <v>773</v>
      </c>
      <c r="E16" s="2">
        <f t="shared" si="1"/>
        <v>955</v>
      </c>
      <c r="F16" t="s">
        <v>463</v>
      </c>
    </row>
    <row r="17" spans="1:5">
      <c r="A17" s="2" t="s">
        <v>109</v>
      </c>
      <c r="B17" s="2" t="s">
        <v>80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80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80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348</v>
      </c>
      <c r="B20" s="2" t="s">
        <v>80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354</v>
      </c>
      <c r="B21" s="2" t="s">
        <v>80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80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360</v>
      </c>
      <c r="B23" s="2" t="s">
        <v>80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80</v>
      </c>
      <c r="C24" s="3">
        <v>13</v>
      </c>
      <c r="D24" s="3">
        <v>664</v>
      </c>
      <c r="E24" s="3">
        <f t="shared" ref="E24:E29" si="2">1216-D24</f>
        <v>552</v>
      </c>
      <c r="F24" t="s">
        <v>458</v>
      </c>
    </row>
    <row r="25" spans="1:6">
      <c r="A25" s="3" t="s">
        <v>464</v>
      </c>
      <c r="B25" s="3" t="s">
        <v>80</v>
      </c>
      <c r="C25" s="3">
        <v>16</v>
      </c>
      <c r="D25" s="3">
        <v>834</v>
      </c>
      <c r="E25" s="3">
        <f t="shared" si="2"/>
        <v>382</v>
      </c>
      <c r="F25" t="s">
        <v>465</v>
      </c>
    </row>
    <row r="26" spans="1:6">
      <c r="A26" s="3" t="s">
        <v>18</v>
      </c>
      <c r="B26" s="3" t="s">
        <v>80</v>
      </c>
      <c r="C26" s="3">
        <v>13</v>
      </c>
      <c r="D26" s="3">
        <v>490</v>
      </c>
      <c r="E26" s="3">
        <f t="shared" si="2"/>
        <v>726</v>
      </c>
      <c r="F26" t="s">
        <v>458</v>
      </c>
    </row>
    <row r="27" spans="1:6">
      <c r="A27" s="3" t="s">
        <v>19</v>
      </c>
      <c r="B27" s="3" t="s">
        <v>80</v>
      </c>
      <c r="C27" s="3">
        <v>15</v>
      </c>
      <c r="D27" s="3">
        <v>746</v>
      </c>
      <c r="E27" s="3">
        <f t="shared" si="2"/>
        <v>470</v>
      </c>
      <c r="F27" t="s">
        <v>463</v>
      </c>
    </row>
    <row r="28" spans="1:6">
      <c r="A28" s="3" t="s">
        <v>20</v>
      </c>
      <c r="B28" s="3" t="s">
        <v>80</v>
      </c>
      <c r="C28" s="3">
        <v>14</v>
      </c>
      <c r="D28" s="3">
        <v>587</v>
      </c>
      <c r="E28" s="3">
        <f t="shared" si="2"/>
        <v>629</v>
      </c>
      <c r="F28" t="s">
        <v>463</v>
      </c>
    </row>
    <row r="29" spans="1:5">
      <c r="A29" s="3" t="s">
        <v>466</v>
      </c>
      <c r="B29" s="3" t="s">
        <v>80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467</v>
      </c>
      <c r="B34" s="1" t="s">
        <v>117</v>
      </c>
      <c r="C34" s="1">
        <v>18</v>
      </c>
      <c r="D34" s="1">
        <v>2688</v>
      </c>
      <c r="E34" s="1">
        <f>2688-D34</f>
        <v>0</v>
      </c>
      <c r="F34" t="s">
        <v>452</v>
      </c>
    </row>
    <row r="35" spans="1:5">
      <c r="A35" s="1" t="s">
        <v>468</v>
      </c>
      <c r="B35" s="1" t="s">
        <v>117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119</v>
      </c>
      <c r="B36" s="1" t="s">
        <v>117</v>
      </c>
      <c r="C36" s="1">
        <v>17</v>
      </c>
      <c r="D36" s="1">
        <v>2539</v>
      </c>
      <c r="E36" s="1">
        <f t="shared" si="3"/>
        <v>149</v>
      </c>
      <c r="F36" t="s">
        <v>463</v>
      </c>
    </row>
    <row r="37" spans="1:6">
      <c r="A37" s="1" t="s">
        <v>469</v>
      </c>
      <c r="B37" s="1" t="s">
        <v>117</v>
      </c>
      <c r="C37" s="1">
        <v>13</v>
      </c>
      <c r="D37" s="1">
        <v>1040</v>
      </c>
      <c r="E37" s="1">
        <f t="shared" si="3"/>
        <v>1648</v>
      </c>
      <c r="F37" t="s">
        <v>458</v>
      </c>
    </row>
    <row r="38" spans="1:6">
      <c r="A38" s="1" t="s">
        <v>470</v>
      </c>
      <c r="B38" s="1" t="s">
        <v>117</v>
      </c>
      <c r="C38" s="1">
        <v>13</v>
      </c>
      <c r="D38" s="1">
        <v>832</v>
      </c>
      <c r="E38" s="1">
        <f t="shared" si="3"/>
        <v>1856</v>
      </c>
      <c r="F38" t="s">
        <v>458</v>
      </c>
    </row>
    <row r="39" spans="1:6">
      <c r="A39" s="1" t="s">
        <v>27</v>
      </c>
      <c r="B39" s="1" t="s">
        <v>117</v>
      </c>
      <c r="C39" s="1">
        <v>18</v>
      </c>
      <c r="D39" s="1">
        <v>2688</v>
      </c>
      <c r="E39" s="1">
        <f t="shared" si="3"/>
        <v>0</v>
      </c>
      <c r="F39" t="s">
        <v>452</v>
      </c>
    </row>
    <row r="40" spans="1:5">
      <c r="A40" s="1" t="s">
        <v>471</v>
      </c>
      <c r="B40" s="1" t="s">
        <v>117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472</v>
      </c>
      <c r="B41" s="1" t="s">
        <v>117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127</v>
      </c>
      <c r="B42" s="2" t="s">
        <v>117</v>
      </c>
      <c r="C42" s="2">
        <v>14</v>
      </c>
      <c r="D42" s="2">
        <v>623</v>
      </c>
      <c r="E42" s="2">
        <f>1728-D42</f>
        <v>1105</v>
      </c>
      <c r="F42" t="s">
        <v>463</v>
      </c>
    </row>
    <row r="43" spans="1:6">
      <c r="A43" s="2" t="s">
        <v>28</v>
      </c>
      <c r="B43" s="2" t="s">
        <v>117</v>
      </c>
      <c r="C43" s="2">
        <v>16</v>
      </c>
      <c r="D43" s="2">
        <v>1290</v>
      </c>
      <c r="E43" s="2">
        <f t="shared" ref="E43:E51" si="4">1728-D43</f>
        <v>438</v>
      </c>
      <c r="F43" t="s">
        <v>465</v>
      </c>
    </row>
    <row r="44" spans="1:6">
      <c r="A44" s="2" t="s">
        <v>29</v>
      </c>
      <c r="B44" s="2" t="s">
        <v>117</v>
      </c>
      <c r="C44" s="2">
        <v>14</v>
      </c>
      <c r="D44" s="2">
        <v>817</v>
      </c>
      <c r="E44" s="2">
        <f t="shared" si="4"/>
        <v>911</v>
      </c>
      <c r="F44" t="s">
        <v>463</v>
      </c>
    </row>
    <row r="45" spans="1:7">
      <c r="A45" s="2" t="s">
        <v>473</v>
      </c>
      <c r="B45" s="2" t="s">
        <v>117</v>
      </c>
      <c r="C45" s="2">
        <v>17</v>
      </c>
      <c r="D45" s="2">
        <v>1449</v>
      </c>
      <c r="E45" s="2">
        <f t="shared" si="4"/>
        <v>279</v>
      </c>
      <c r="F45" t="s">
        <v>454</v>
      </c>
      <c r="G45" t="s">
        <v>474</v>
      </c>
    </row>
    <row r="46" spans="1:6">
      <c r="A46" s="2" t="s">
        <v>475</v>
      </c>
      <c r="B46" s="2" t="s">
        <v>117</v>
      </c>
      <c r="C46" s="2">
        <v>17</v>
      </c>
      <c r="D46" s="2">
        <v>1408</v>
      </c>
      <c r="E46" s="2">
        <f t="shared" si="4"/>
        <v>320</v>
      </c>
      <c r="F46" t="s">
        <v>454</v>
      </c>
    </row>
    <row r="47" spans="1:5">
      <c r="A47" s="2" t="s">
        <v>476</v>
      </c>
      <c r="B47" s="2" t="s">
        <v>117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137</v>
      </c>
      <c r="B48" s="2" t="s">
        <v>117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31</v>
      </c>
      <c r="B49" s="2" t="s">
        <v>117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32</v>
      </c>
      <c r="B50" s="2" t="s">
        <v>117</v>
      </c>
      <c r="C50" s="2">
        <v>17</v>
      </c>
      <c r="D50" s="2">
        <v>1408</v>
      </c>
      <c r="E50" s="2">
        <f t="shared" si="4"/>
        <v>320</v>
      </c>
      <c r="F50" t="s">
        <v>465</v>
      </c>
    </row>
    <row r="51" spans="1:6">
      <c r="A51" s="2" t="s">
        <v>69</v>
      </c>
      <c r="B51" s="2" t="s">
        <v>117</v>
      </c>
      <c r="C51" s="2">
        <v>10</v>
      </c>
      <c r="D51" s="2">
        <v>775</v>
      </c>
      <c r="E51" s="2">
        <f t="shared" si="4"/>
        <v>953</v>
      </c>
      <c r="F51" t="s">
        <v>458</v>
      </c>
    </row>
    <row r="52" spans="1:5">
      <c r="A52" s="3" t="s">
        <v>477</v>
      </c>
      <c r="B52" s="3" t="s">
        <v>117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33</v>
      </c>
      <c r="B53" s="3" t="s">
        <v>117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34</v>
      </c>
      <c r="B54" s="3" t="s">
        <v>117</v>
      </c>
      <c r="C54" s="3">
        <v>12</v>
      </c>
      <c r="D54" s="3">
        <v>739</v>
      </c>
      <c r="E54" s="3">
        <f>1216-D54</f>
        <v>477</v>
      </c>
      <c r="F54" t="s">
        <v>458</v>
      </c>
    </row>
    <row r="55" spans="1:5">
      <c r="A55" s="3" t="s">
        <v>478</v>
      </c>
      <c r="B55" s="3" t="s">
        <v>117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479</v>
      </c>
      <c r="B56" s="3" t="s">
        <v>117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480</v>
      </c>
      <c r="B1" t="s">
        <v>481</v>
      </c>
      <c r="C1" t="s">
        <v>482</v>
      </c>
      <c r="D1" t="s">
        <v>483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2026-02-11T09:46:24Z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