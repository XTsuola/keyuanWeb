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qieCard\"/>
    </mc:Choice>
  </mc:AlternateContent>
  <bookViews>
    <workbookView windowWidth="10080" windowHeight="10710"/>
  </bookViews>
  <sheets>
    <sheet name="炼狱" sheetId="8" r:id="rId1"/>
    <sheet name="港口" sheetId="6" r:id="rId2"/>
    <sheet name="帝国" sheetId="5" r:id="rId3"/>
    <sheet name="隐秘" sheetId="9" r:id="rId4"/>
    <sheet name="企鹅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<sst xmlns="http://schemas.openxmlformats.org/spreadsheetml/2006/main" count="105" uniqueCount="73">
  <si>
    <t>名称</t>
  </si>
  <si>
    <t>费用</t>
  </si>
  <si>
    <t>卡等</t>
  </si>
  <si>
    <t>冥河守卫1</t>
  </si>
  <si>
    <t>冥河守卫2</t>
  </si>
  <si>
    <t>落雷击</t>
  </si>
  <si>
    <t>烈焰风暴</t>
  </si>
  <si>
    <t>小计：</t>
  </si>
  <si>
    <t>蓝色卡等：</t>
  </si>
  <si>
    <t>碎颅魔</t>
  </si>
  <si>
    <t>绝望镰魔</t>
  </si>
  <si>
    <t>破卵而出</t>
  </si>
  <si>
    <t>符文·致命甲壳</t>
  </si>
  <si>
    <t>岩浆球</t>
  </si>
  <si>
    <t>灼神双炎</t>
  </si>
  <si>
    <t>雷光炼狱</t>
  </si>
  <si>
    <t>紫色卡等：</t>
  </si>
  <si>
    <t>痛苦之心</t>
  </si>
  <si>
    <t>血影</t>
  </si>
  <si>
    <t>怨魂饕餮兽</t>
  </si>
  <si>
    <t>血翼·莉莉丝</t>
  </si>
  <si>
    <t>橙色卡等：</t>
  </si>
  <si>
    <t>总计：</t>
  </si>
  <si>
    <t>炼狱卡等：</t>
  </si>
  <si>
    <t>心灵黑洞1</t>
  </si>
  <si>
    <t>心灵黑洞2</t>
  </si>
  <si>
    <t>黑金勒索者1</t>
  </si>
  <si>
    <t>黑金勒索者2</t>
  </si>
  <si>
    <t>酗酒醉汉</t>
  </si>
  <si>
    <t>不法交易</t>
  </si>
  <si>
    <t>热血矿工</t>
  </si>
  <si>
    <t>海燕精卫</t>
  </si>
  <si>
    <t>红海猎魔人</t>
  </si>
  <si>
    <t>黑水伏击</t>
  </si>
  <si>
    <t>星辰陨落</t>
  </si>
  <si>
    <t>花剑绅士·翔</t>
  </si>
  <si>
    <t>海燕·鲍莉</t>
  </si>
  <si>
    <t>赤影·艾希尔</t>
  </si>
  <si>
    <t>魔卡幻术师·梅基</t>
  </si>
  <si>
    <t>钢之咆哮·布瑞恩</t>
  </si>
  <si>
    <t>港口卡等：</t>
  </si>
  <si>
    <t>增援战线</t>
  </si>
  <si>
    <t>田园守望者</t>
  </si>
  <si>
    <t>光明惩戒</t>
  </si>
  <si>
    <t>四芒军旗</t>
  </si>
  <si>
    <t>传记·钢铁守卫</t>
  </si>
  <si>
    <t>白袍主教</t>
  </si>
  <si>
    <t>圣殿骑士</t>
  </si>
  <si>
    <t>召集护卫</t>
  </si>
  <si>
    <t>曙光·安娜贝尔</t>
  </si>
  <si>
    <t>圣枪·卡洛琳</t>
  </si>
  <si>
    <t>符文·辉煌赞美诗</t>
  </si>
  <si>
    <t>明日之音·露娜</t>
  </si>
  <si>
    <t>帝国军魂·莱哈特</t>
  </si>
  <si>
    <t>正阳大主教·伊恩</t>
  </si>
  <si>
    <t>钢铁统帅·雷蒙德</t>
  </si>
  <si>
    <t>帝国卡等：</t>
  </si>
  <si>
    <t>沉重否定1</t>
  </si>
  <si>
    <t>沉重否定2</t>
  </si>
  <si>
    <t>符文·静默进军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</si>
  <si>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</si>
  <si>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</si>
  <si>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</si>
  <si>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</si>
  <si>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</si>
  <si>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</si>
  <si>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</si>
  <si>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米拉方舟</t>
  </si>
  <si>
    <t>心灵操控</t>
  </si>
  <si>
    <t>No.5咒刃·布雷克</t>
  </si>
  <si>
    <t>鬼童-7号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</si>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</sst>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24</v>
      </c>
    </row>
    <row r="3" spans="1:4">
      <c r="A3" s="1" t="s">
        <v>4</v>
      </c>
      <c r="B3" s="1">
        <v>1</v>
      </c>
      <c r="C3" s="1">
        <v>24</v>
      </c>
    </row>
    <row r="4" spans="1:4">
      <c r="A4" s="1" t="s">
        <v>5</v>
      </c>
      <c r="B4" s="1">
        <v>1</v>
      </c>
      <c r="C4" s="1">
        <v>23</v>
      </c>
    </row>
    <row r="5" spans="1:4">
      <c r="A5" s="1" t="s">
        <v>6</v>
      </c>
      <c r="B5" s="1">
        <v>4</v>
      </c>
      <c r="C5" s="1">
        <v>24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23.75</v>
      </c>
      <c r="D8" s="2"/>
    </row>
    <row r="11" spans="1:4">
      <c r="A11" s="2" t="s">
        <v>9</v>
      </c>
      <c r="B11" s="2">
        <v>2</v>
      </c>
      <c r="C11" s="2">
        <v>24</v>
      </c>
    </row>
    <row r="12" spans="1:4">
      <c r="A12" s="2" t="s">
        <v>10</v>
      </c>
      <c r="B12" s="2">
        <v>3</v>
      </c>
      <c r="C12" s="2">
        <v>24</v>
      </c>
    </row>
    <row r="13" spans="1:4">
      <c r="A13" s="2" t="s">
        <v>11</v>
      </c>
      <c r="B13" s="2">
        <v>3</v>
      </c>
      <c r="C13" s="2">
        <v>24</v>
      </c>
    </row>
    <row r="14" spans="1:4">
      <c r="A14" s="2" t="s">
        <v>12</v>
      </c>
      <c r="B14" s="2">
        <v>3</v>
      </c>
      <c r="C14" s="2">
        <v>24</v>
      </c>
    </row>
    <row r="15" spans="1:4">
      <c r="A15" s="2" t="s">
        <v>13</v>
      </c>
      <c r="B15" s="2">
        <v>3</v>
      </c>
      <c r="C15" s="2">
        <v>21</v>
      </c>
    </row>
    <row r="16" spans="1:4">
      <c r="A16" s="2" t="s">
        <v>14</v>
      </c>
      <c r="B16" s="2">
        <v>4</v>
      </c>
      <c r="C16" s="2">
        <v>23</v>
      </c>
    </row>
    <row r="17" spans="1:3">
      <c r="A17" s="2" t="s">
        <v>15</v>
      </c>
      <c r="B17" s="2">
        <v>5</v>
      </c>
      <c r="C17" s="2">
        <v>24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23.4285714285714</v>
      </c>
    </row>
    <row r="23" spans="1:3">
      <c r="A23" s="3" t="s">
        <v>17</v>
      </c>
      <c r="B23" s="3">
        <v>2</v>
      </c>
      <c r="C23" s="3">
        <v>12</v>
      </c>
    </row>
    <row r="24" spans="1:3">
      <c r="A24" s="3" t="s">
        <v>18</v>
      </c>
      <c r="B24" s="3">
        <v>3</v>
      </c>
      <c r="C24" s="3">
        <v>23</v>
      </c>
    </row>
    <row r="25" spans="1:3">
      <c r="A25" s="3" t="s">
        <v>19</v>
      </c>
      <c r="B25" s="3">
        <v>5</v>
      </c>
      <c r="C25" s="3">
        <v>23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AVERAGE(C23:C26)</f>
        <v>19.5</v>
      </c>
    </row>
    <row r="32" spans="1:3">
      <c r="A32" s="4" t="s">
        <v>22</v>
      </c>
      <c r="B32" s="4" t="s">
        <v>23</v>
      </c>
      <c r="C32" s="4">
        <f>AVERAGE(C2:C5,C11:C17,C23:C26)</f>
        <v>22.4666666666667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8" sqref="C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19</v>
      </c>
    </row>
    <row r="3" spans="1:4">
      <c r="A3" s="1" t="s">
        <v>25</v>
      </c>
      <c r="B3" s="1">
        <v>1</v>
      </c>
      <c r="C3" s="1">
        <v>19</v>
      </c>
    </row>
    <row r="4" spans="1:4">
      <c r="A4" s="1" t="s">
        <v>26</v>
      </c>
      <c r="B4" s="1">
        <v>2</v>
      </c>
      <c r="C4" s="1">
        <v>24</v>
      </c>
    </row>
    <row r="5" spans="1:4">
      <c r="A5" s="1" t="s">
        <v>27</v>
      </c>
      <c r="B5" s="1">
        <v>2</v>
      </c>
      <c r="C5" s="1">
        <v>24</v>
      </c>
    </row>
    <row r="6" spans="1:4">
      <c r="A6" s="1" t="s">
        <v>28</v>
      </c>
      <c r="B6" s="1">
        <v>3</v>
      </c>
      <c r="C6" s="1">
        <v>24</v>
      </c>
    </row>
    <row r="7" spans="1:4">
      <c r="A7" s="1" t="s">
        <v>29</v>
      </c>
      <c r="B7" s="1">
        <v>3</v>
      </c>
      <c r="C7" s="1">
        <v>24</v>
      </c>
    </row>
    <row r="8" spans="1:4">
      <c r="A8" s="1" t="s">
        <v>30</v>
      </c>
      <c r="B8" s="1">
        <v>3</v>
      </c>
      <c r="C8" s="1">
        <v>22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22.2857142857143</v>
      </c>
      <c r="D11" s="2"/>
    </row>
    <row r="14" spans="1:4">
      <c r="A14" s="2" t="s">
        <v>31</v>
      </c>
      <c r="B14" s="2">
        <v>2</v>
      </c>
      <c r="C14" s="2">
        <v>24</v>
      </c>
    </row>
    <row r="15" spans="1:4">
      <c r="A15" s="2" t="s">
        <v>32</v>
      </c>
      <c r="B15" s="2">
        <v>2</v>
      </c>
      <c r="C15" s="2">
        <v>24</v>
      </c>
    </row>
    <row r="16" spans="1:4">
      <c r="A16" s="2" t="s">
        <v>33</v>
      </c>
      <c r="B16" s="2">
        <v>3</v>
      </c>
      <c r="C16" s="2">
        <v>24</v>
      </c>
    </row>
    <row r="17" spans="1:3">
      <c r="A17" s="2" t="s">
        <v>34</v>
      </c>
      <c r="B17" s="2">
        <v>5</v>
      </c>
      <c r="C17" s="2">
        <v>23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AVERAGE(C14:C17)</f>
        <v>23.75</v>
      </c>
    </row>
    <row r="23" spans="1:3">
      <c r="A23" s="3" t="s">
        <v>35</v>
      </c>
      <c r="B23" s="3">
        <v>2</v>
      </c>
      <c r="C23" s="3">
        <v>24</v>
      </c>
    </row>
    <row r="24" spans="1:3">
      <c r="A24" s="3" t="s">
        <v>36</v>
      </c>
      <c r="B24" s="3">
        <v>3</v>
      </c>
      <c r="C24" s="3">
        <v>24</v>
      </c>
    </row>
    <row r="25" spans="1:3">
      <c r="A25" s="3" t="s">
        <v>37</v>
      </c>
      <c r="B25" s="3">
        <v>4</v>
      </c>
      <c r="C25" s="3">
        <v>21</v>
      </c>
    </row>
    <row r="26" spans="1:3">
      <c r="A26" s="3" t="s">
        <v>38</v>
      </c>
      <c r="B26" s="3">
        <v>4</v>
      </c>
      <c r="C26" s="3">
        <v>20</v>
      </c>
    </row>
    <row r="27" spans="1:3">
      <c r="A27" s="3" t="s">
        <v>39</v>
      </c>
      <c r="B27" s="3">
        <v>5</v>
      </c>
      <c r="C27" s="3">
        <v>23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AVERAGE(C23:C27)</f>
        <v>22.4</v>
      </c>
    </row>
    <row r="33" spans="1:3">
      <c r="A33" s="4" t="s">
        <v>22</v>
      </c>
      <c r="B33" s="4" t="s">
        <v>40</v>
      </c>
      <c r="C33" s="4">
        <f>AVERAGE(C2:C8,C14:C17,C23:C27)</f>
        <v>22.6875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3</v>
      </c>
      <c r="C2" s="1">
        <v>24</v>
      </c>
    </row>
    <row r="3" spans="1:4">
      <c r="A3" s="1" t="s">
        <v>42</v>
      </c>
      <c r="B3" s="1">
        <v>3</v>
      </c>
      <c r="C3" s="1">
        <v>23</v>
      </c>
    </row>
    <row r="4" spans="1:4">
      <c r="A4" s="1" t="s">
        <v>43</v>
      </c>
      <c r="B4" s="1">
        <v>5</v>
      </c>
      <c r="C4" s="1">
        <v>19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7</v>
      </c>
      <c r="B7" s="1" t="s">
        <v>8</v>
      </c>
      <c r="C7" s="1">
        <f>AVERAGE(C2:C4)</f>
        <v>22</v>
      </c>
      <c r="D7" s="2"/>
    </row>
    <row r="10" spans="1:4">
      <c r="A10" s="2" t="s">
        <v>44</v>
      </c>
      <c r="B10" s="2">
        <v>1</v>
      </c>
      <c r="C10" s="2">
        <v>22</v>
      </c>
    </row>
    <row r="11" spans="1:4">
      <c r="A11" s="2" t="s">
        <v>45</v>
      </c>
      <c r="B11" s="2">
        <v>1</v>
      </c>
      <c r="C11" s="2">
        <v>22</v>
      </c>
    </row>
    <row r="12" spans="1:4">
      <c r="A12" s="2" t="s">
        <v>46</v>
      </c>
      <c r="B12" s="2">
        <v>3</v>
      </c>
      <c r="C12" s="2">
        <v>24</v>
      </c>
    </row>
    <row r="13" spans="1:4">
      <c r="A13" s="2" t="s">
        <v>47</v>
      </c>
      <c r="B13" s="2">
        <v>3</v>
      </c>
      <c r="C13" s="2">
        <v>23</v>
      </c>
    </row>
    <row r="14" spans="1:4">
      <c r="A14" s="2" t="s">
        <v>48</v>
      </c>
      <c r="B14" s="2">
        <v>4</v>
      </c>
      <c r="C14" s="2">
        <v>22</v>
      </c>
    </row>
    <row r="15" spans="1:4">
      <c r="A15" s="2"/>
      <c r="B15" s="2"/>
      <c r="C15" s="2"/>
    </row>
    <row r="16" spans="1:4">
      <c r="A16" s="2"/>
      <c r="B16" s="2"/>
      <c r="C16" s="2"/>
    </row>
    <row r="17" spans="1:3">
      <c r="A17" s="2" t="s">
        <v>7</v>
      </c>
      <c r="B17" s="2" t="s">
        <v>16</v>
      </c>
      <c r="C17" s="2">
        <f>AVERAGE(C10:C14)</f>
        <v>22.6</v>
      </c>
    </row>
    <row r="20" spans="1:3">
      <c r="A20" s="3" t="s">
        <v>49</v>
      </c>
      <c r="B20" s="3">
        <v>3</v>
      </c>
      <c r="C20" s="3">
        <v>21</v>
      </c>
    </row>
    <row r="21" spans="1:3">
      <c r="A21" s="3" t="s">
        <v>50</v>
      </c>
      <c r="B21" s="3">
        <v>4</v>
      </c>
      <c r="C21" s="3">
        <v>22</v>
      </c>
    </row>
    <row r="22" spans="1:3">
      <c r="A22" s="3" t="s">
        <v>51</v>
      </c>
      <c r="B22" s="3">
        <v>4</v>
      </c>
      <c r="C22" s="3">
        <v>17</v>
      </c>
    </row>
    <row r="23" spans="1:3">
      <c r="A23" s="3" t="s">
        <v>52</v>
      </c>
      <c r="B23" s="3">
        <v>4</v>
      </c>
      <c r="C23" s="3">
        <v>16</v>
      </c>
    </row>
    <row r="24" spans="1:3">
      <c r="A24" s="3" t="s">
        <v>53</v>
      </c>
      <c r="B24" s="3">
        <v>5</v>
      </c>
      <c r="C24" s="3">
        <v>23</v>
      </c>
    </row>
    <row r="25" spans="1:3">
      <c r="A25" s="3" t="s">
        <v>54</v>
      </c>
      <c r="B25" s="3">
        <v>6</v>
      </c>
      <c r="C25" s="3">
        <v>21</v>
      </c>
    </row>
    <row r="26" spans="1:3">
      <c r="A26" s="3" t="s">
        <v>55</v>
      </c>
      <c r="B26" s="3">
        <v>8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AVERAGE(C20:C26)</f>
        <v>19.8571428571429</v>
      </c>
    </row>
    <row r="32" spans="1:3">
      <c r="A32" s="4" t="s">
        <v>22</v>
      </c>
      <c r="B32" s="4" t="s">
        <v>56</v>
      </c>
      <c r="C32" s="4">
        <f>AVERAGE(C2:C4,C10:C14,C20:C26)</f>
        <v>21.2</v>
      </c>
    </row>
  </sheetData>
  <pageMargins left="0.75" right="0.75" top="1" bottom="1" header="0.5" footer="0.5"/>
  <headerFooter/>
  <ignoredErrors>
    <ignoredError sqref="C7 C32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57</v>
      </c>
      <c r="B2" s="1">
        <v>2</v>
      </c>
      <c r="C2" s="1">
        <v>12</v>
      </c>
    </row>
    <row r="3" spans="1:4">
      <c r="A3" s="1" t="s">
        <v>58</v>
      </c>
      <c r="B3" s="1">
        <v>2</v>
      </c>
      <c r="C3" s="1">
        <v>12</v>
      </c>
    </row>
    <row r="4" spans="1:4">
      <c r="A4" s="1" t="s">
        <v>59</v>
      </c>
      <c r="B4" s="1">
        <v>2</v>
      </c>
      <c r="C4" s="1">
        <v>12</v>
      </c>
    </row>
    <row r="5" spans="1:4">
      <c r="A5" s="1" t="s">
        <v>60</v>
      </c>
      <c r="B5" s="1">
        <v>3</v>
      </c>
      <c r="C5" s="1">
        <v>12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12</v>
      </c>
      <c r="D8" s="2"/>
    </row>
    <row r="11" spans="1:4">
      <c r="A11" s="2" t="s">
        <v>61</v>
      </c>
      <c r="B11" s="2">
        <v>1</v>
      </c>
      <c r="C11" s="2">
        <v>12</v>
      </c>
    </row>
    <row r="12" spans="1:4">
      <c r="A12" s="2" t="s">
        <v>62</v>
      </c>
      <c r="B12" s="2">
        <v>2</v>
      </c>
      <c r="C12" s="2">
        <v>12</v>
      </c>
    </row>
    <row r="13" spans="1:4">
      <c r="A13" s="2" t="s">
        <v>63</v>
      </c>
      <c r="B13" s="2">
        <v>2</v>
      </c>
      <c r="C13" s="2">
        <v>14</v>
      </c>
    </row>
    <row r="14" spans="1:4">
      <c r="A14" s="2" t="s">
        <v>64</v>
      </c>
      <c r="B14" s="2">
        <v>2</v>
      </c>
      <c r="C14" s="2">
        <v>14</v>
      </c>
    </row>
    <row r="15" spans="1:4">
      <c r="A15" s="2" t="s">
        <v>65</v>
      </c>
      <c r="B15" s="2">
        <v>3</v>
      </c>
      <c r="C15" s="2">
        <v>22</v>
      </c>
    </row>
    <row r="16" spans="1:4">
      <c r="A16" s="2" t="s">
        <v>66</v>
      </c>
      <c r="B16" s="2">
        <v>3</v>
      </c>
      <c r="C16" s="2">
        <v>21</v>
      </c>
    </row>
    <row r="17" spans="1:3">
      <c r="A17" s="2" t="s">
        <v>67</v>
      </c>
      <c r="B17" s="2">
        <v>7</v>
      </c>
      <c r="C17" s="2">
        <v>12</v>
      </c>
    </row>
    <row r="18" spans="1:3">
      <c r="A18" s="2" t="s">
        <v>68</v>
      </c>
      <c r="B18" s="2">
        <v>7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16</v>
      </c>
      <c r="C21" s="2">
        <f>AVERAGE(C11:C18)</f>
        <v>14.875</v>
      </c>
    </row>
    <row r="24" spans="1:3">
      <c r="A24" s="3" t="s">
        <v>69</v>
      </c>
      <c r="B24" s="3">
        <v>3</v>
      </c>
      <c r="C24" s="3">
        <v>20</v>
      </c>
    </row>
    <row r="25" spans="1:3">
      <c r="A25" s="3" t="s">
        <v>70</v>
      </c>
      <c r="B25" s="3">
        <v>4</v>
      </c>
      <c r="C25" s="3">
        <v>21</v>
      </c>
    </row>
    <row r="26" spans="1:3">
      <c r="A26" s="3" t="s">
        <v>71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AVERAGE(C24:C26)</f>
        <v>19.3333333333333</v>
      </c>
    </row>
    <row r="32" spans="1:3">
      <c r="A32" s="4" t="s">
        <v>22</v>
      </c>
      <c r="B32" s="4" t="s">
        <v>72</v>
      </c>
      <c r="C32" s="4">
        <f>AVERAGE(C2:C5,C11:C18,C24:C26)</f>
        <v>15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35" sqref="E35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炼狱</vt:lpstr>
      <vt:lpstr>港口</vt:lpstr>
      <vt:lpstr>帝国</vt:lpstr>
      <vt:lpstr>隐秘</vt:lpstr>
      <vt:lpstr>企鹅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2026-09-21T05:47:43Z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