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views\game\zlzq\cardList\guyueCard\"/>
    </mc:Choice>
  </mc:AlternateContent>
  <bookViews>
    <workbookView windowWidth="14625" windowHeight="10500" firstSheet="1" activeTab="3"/>
  </bookViews>
  <sheets>
    <sheet name="禅意" sheetId="6" r:id="rId1"/>
    <sheet name="冬神" sheetId="10" r:id="rId2"/>
    <sheet name="帝国" sheetId="8" r:id="rId3"/>
    <sheet name="隐秘" sheetId="12" r:id="rId4"/>
    <sheet name="古月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<sst xmlns="http://schemas.openxmlformats.org/spreadsheetml/2006/main" count="105" uniqueCount="73">
  <si>
    <t>名称</t>
  </si>
  <si>
    <t>费用</t>
  </si>
  <si>
    <t>卡等</t>
  </si>
  <si>
    <t>雪庐草人1</t>
  </si>
  <si>
    <t>雪庐草人2</t>
  </si>
  <si>
    <t>太极剑法</t>
  </si>
  <si>
    <t>连击</t>
  </si>
  <si>
    <t>小计：</t>
  </si>
  <si>
    <t>蓝色卡等：</t>
  </si>
  <si>
    <t>雪山飞狐</t>
  </si>
  <si>
    <t>百刺浪客</t>
  </si>
  <si>
    <t>白鹿贤士</t>
  </si>
  <si>
    <t>萌化术</t>
  </si>
  <si>
    <t>渡船隐士</t>
  </si>
  <si>
    <t>紫色卡等：</t>
  </si>
  <si>
    <t>流岚刃·琳</t>
  </si>
  <si>
    <t>雪域春光·凛</t>
  </si>
  <si>
    <t>三熊阵</t>
  </si>
  <si>
    <t>悟能禅杖</t>
  </si>
  <si>
    <t>逍遥居士·铭</t>
  </si>
  <si>
    <t>豪情禅师·悟能</t>
  </si>
  <si>
    <t>橙色卡等：</t>
  </si>
  <si>
    <t>总计：</t>
  </si>
  <si>
    <t>禅意卡等：</t>
  </si>
  <si>
    <t>骨爆</t>
  </si>
  <si>
    <t>转化仪式</t>
  </si>
  <si>
    <t>寒风草人</t>
  </si>
  <si>
    <t>寒冬将至1</t>
  </si>
  <si>
    <t>寒冬将至2</t>
  </si>
  <si>
    <t>神庙魔像</t>
  </si>
  <si>
    <t>极地狂信者</t>
  </si>
  <si>
    <t>灵魂抽取</t>
  </si>
  <si>
    <t>寒盲刀客</t>
  </si>
  <si>
    <t>冬幕骑士</t>
  </si>
  <si>
    <t>冰峰甲虫</t>
  </si>
  <si>
    <t>寒风血刃</t>
  </si>
  <si>
    <t>不息之灵</t>
  </si>
  <si>
    <t>永夜女王</t>
  </si>
  <si>
    <t>寒风魔将·塞古斯</t>
  </si>
  <si>
    <t>冬神卡等：</t>
  </si>
  <si>
    <t>圣殿斥候</t>
  </si>
  <si>
    <t>天使琼浆</t>
  </si>
  <si>
    <t>炫目神光1</t>
  </si>
  <si>
    <t>炫目神光2</t>
  </si>
  <si>
    <t>炫目神光3</t>
  </si>
  <si>
    <t>塔楼弓手</t>
  </si>
  <si>
    <t>增援战线</t>
  </si>
  <si>
    <t>田园守望者1</t>
  </si>
  <si>
    <t>田园守望者2</t>
  </si>
  <si>
    <t>光明惩戒1</t>
  </si>
  <si>
    <t>光明惩戒2</t>
  </si>
  <si>
    <t>召集护卫</t>
  </si>
  <si>
    <t>曙光·安娜贝尔</t>
  </si>
  <si>
    <t>圣枪·卡洛琳</t>
  </si>
  <si>
    <t>明日之音·露娜</t>
  </si>
  <si>
    <t>正阳大主教·伊恩</t>
  </si>
  <si>
    <t>帝国卡等：</t>
  </si>
  <si>
    <t>学仆-观测型1</t>
  </si>
  <si>
    <t>学仆-观测型2</t>
  </si>
  <si>
    <t>沉重否定</t>
  </si>
  <si>
    <t>全数否定</t>
  </si>
  <si>
    <t>隐形术</t>
  </si>
  <si>
    <t>破魔系教授</t>
  </si>
  <si>
    <t>克隆术1</t>
  </si>
  <si>
    <t>克隆术2</t>
  </si>
  <si>
    <t>学仆-脉冲型1</t>
  </si>
  <si>
    <t>学仆-脉冲型2</t>
  </si>
  <si>
    <t>学仆-脉冲型3</t>
  </si>
  <si>
    <t>符文·邪月之夜</t>
  </si>
  <si>
    <t>学仆-塑钢型</t>
  </si>
  <si>
    <t>米拉方舟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</si>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</sst>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31" sqref="E3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23</v>
      </c>
    </row>
    <row r="3" spans="1:4">
      <c r="A3" s="1" t="s">
        <v>4</v>
      </c>
      <c r="B3" s="1">
        <v>1</v>
      </c>
      <c r="C3" s="1">
        <v>23</v>
      </c>
    </row>
    <row r="4" spans="1:4">
      <c r="A4" s="1" t="s">
        <v>5</v>
      </c>
      <c r="B4" s="1">
        <v>2</v>
      </c>
      <c r="C4" s="1">
        <v>16</v>
      </c>
    </row>
    <row r="5" spans="1:4">
      <c r="A5" s="1" t="s">
        <v>6</v>
      </c>
      <c r="B5" s="1">
        <v>3</v>
      </c>
      <c r="C5" s="1">
        <v>24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21.5</v>
      </c>
      <c r="D8" s="2"/>
    </row>
    <row r="11" spans="1:4">
      <c r="A11" s="2" t="s">
        <v>9</v>
      </c>
      <c r="B11" s="2">
        <v>2</v>
      </c>
      <c r="C11" s="2">
        <v>23</v>
      </c>
    </row>
    <row r="12" spans="1:4">
      <c r="A12" s="2" t="s">
        <v>10</v>
      </c>
      <c r="B12" s="2">
        <v>4</v>
      </c>
      <c r="C12" s="2">
        <v>22</v>
      </c>
    </row>
    <row r="13" spans="1:4">
      <c r="A13" s="2" t="s">
        <v>11</v>
      </c>
      <c r="B13" s="2">
        <v>4</v>
      </c>
      <c r="C13" s="2">
        <v>21</v>
      </c>
    </row>
    <row r="14" spans="1:4">
      <c r="A14" s="2" t="s">
        <v>12</v>
      </c>
      <c r="B14" s="2">
        <v>4</v>
      </c>
      <c r="C14" s="2">
        <v>12</v>
      </c>
    </row>
    <row r="15" spans="1:4">
      <c r="A15" s="2" t="s">
        <v>13</v>
      </c>
      <c r="B15" s="2">
        <v>5</v>
      </c>
      <c r="C15" s="2">
        <v>21</v>
      </c>
    </row>
    <row r="16" spans="1:4">
      <c r="A16" s="2"/>
      <c r="B16" s="2"/>
      <c r="C16" s="2"/>
    </row>
    <row r="17" spans="1:3">
      <c r="A17" s="2"/>
      <c r="B17" s="2"/>
      <c r="C17" s="2"/>
    </row>
    <row r="18" spans="1:3">
      <c r="A18" s="2" t="s">
        <v>7</v>
      </c>
      <c r="B18" s="2" t="s">
        <v>14</v>
      </c>
      <c r="C18" s="2">
        <f>AVERAGE(C11:C15)</f>
        <v>19.8</v>
      </c>
    </row>
    <row r="21" spans="1:3">
      <c r="A21" s="3" t="s">
        <v>15</v>
      </c>
      <c r="B21" s="3">
        <v>3</v>
      </c>
      <c r="C21" s="3">
        <v>21</v>
      </c>
    </row>
    <row r="22" spans="1:3">
      <c r="A22" s="3" t="s">
        <v>16</v>
      </c>
      <c r="B22" s="3">
        <v>4</v>
      </c>
      <c r="C22" s="3">
        <v>20</v>
      </c>
    </row>
    <row r="23" spans="1:3">
      <c r="A23" s="3" t="s">
        <v>17</v>
      </c>
      <c r="B23" s="3">
        <v>4</v>
      </c>
      <c r="C23" s="3">
        <v>18</v>
      </c>
    </row>
    <row r="24" spans="1:3">
      <c r="A24" s="3" t="s">
        <v>18</v>
      </c>
      <c r="B24" s="3">
        <v>4</v>
      </c>
      <c r="C24" s="3">
        <v>18</v>
      </c>
    </row>
    <row r="25" spans="1:3">
      <c r="A25" s="3" t="s">
        <v>19</v>
      </c>
      <c r="B25" s="3">
        <v>5</v>
      </c>
      <c r="C25" s="3">
        <v>21</v>
      </c>
    </row>
    <row r="26" spans="1:3">
      <c r="A26" s="3" t="s">
        <v>20</v>
      </c>
      <c r="B26" s="3">
        <v>6</v>
      </c>
      <c r="C26" s="3">
        <v>21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AVERAGE(C21:C26)</f>
        <v>19.8333333333333</v>
      </c>
    </row>
    <row r="32" spans="1:3">
      <c r="A32" s="4" t="s">
        <v>22</v>
      </c>
      <c r="B32" s="4" t="s">
        <v>23</v>
      </c>
      <c r="C32" s="4">
        <f>AVERAGE(C2:C5,C11:C15,C21:C26)</f>
        <v>20.2666666666667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35" sqref="D3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24</v>
      </c>
      <c r="B2" s="1">
        <v>1</v>
      </c>
      <c r="C2" s="1">
        <v>20</v>
      </c>
    </row>
    <row r="3" spans="1:4">
      <c r="A3" s="1" t="s">
        <v>25</v>
      </c>
      <c r="B3" s="1">
        <v>1</v>
      </c>
      <c r="C3" s="1">
        <v>12</v>
      </c>
    </row>
    <row r="4" spans="1:4">
      <c r="A4" s="1" t="s">
        <v>26</v>
      </c>
      <c r="B4" s="1">
        <v>2</v>
      </c>
      <c r="C4" s="1">
        <v>24</v>
      </c>
    </row>
    <row r="5" spans="1:4">
      <c r="A5" s="1" t="s">
        <v>27</v>
      </c>
      <c r="B5" s="1">
        <v>2</v>
      </c>
      <c r="C5" s="1">
        <v>22</v>
      </c>
    </row>
    <row r="6" spans="1:4">
      <c r="A6" s="1" t="s">
        <v>28</v>
      </c>
      <c r="B6" s="1">
        <v>2</v>
      </c>
      <c r="C6" s="1">
        <v>12</v>
      </c>
    </row>
    <row r="7" spans="1:4">
      <c r="A7" s="1" t="s">
        <v>29</v>
      </c>
      <c r="B7" s="1">
        <v>3</v>
      </c>
      <c r="C7" s="1">
        <v>24</v>
      </c>
    </row>
    <row r="8" spans="1:4">
      <c r="A8" s="1" t="s">
        <v>30</v>
      </c>
      <c r="B8" s="1">
        <v>3</v>
      </c>
      <c r="C8" s="1">
        <v>22</v>
      </c>
    </row>
    <row r="9" spans="1:4">
      <c r="A9" s="1" t="s">
        <v>31</v>
      </c>
      <c r="B9" s="1">
        <v>3</v>
      </c>
      <c r="C9" s="1">
        <v>21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7</v>
      </c>
      <c r="B12" s="1" t="s">
        <v>8</v>
      </c>
      <c r="C12" s="1">
        <f>AVERAGE(C2:C9)</f>
        <v>19.625</v>
      </c>
      <c r="D12" s="2"/>
    </row>
    <row r="15" spans="1:4">
      <c r="A15" s="2" t="s">
        <v>32</v>
      </c>
      <c r="B15" s="2">
        <v>3</v>
      </c>
      <c r="C15" s="2">
        <v>22</v>
      </c>
    </row>
    <row r="16" spans="1:4">
      <c r="A16" s="2" t="s">
        <v>33</v>
      </c>
      <c r="B16" s="2">
        <v>4</v>
      </c>
      <c r="C16" s="2">
        <v>22</v>
      </c>
    </row>
    <row r="17" spans="1:3">
      <c r="A17" s="2" t="s">
        <v>34</v>
      </c>
      <c r="B17" s="2">
        <v>4</v>
      </c>
      <c r="C17" s="2">
        <v>21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14</v>
      </c>
      <c r="C20" s="2">
        <f>AVERAGE(C15:C17)</f>
        <v>21.6666666666667</v>
      </c>
    </row>
    <row r="23" spans="1:3">
      <c r="A23" s="3" t="s">
        <v>35</v>
      </c>
      <c r="B23" s="3">
        <v>3</v>
      </c>
      <c r="C23" s="3">
        <v>18</v>
      </c>
    </row>
    <row r="24" spans="1:3">
      <c r="A24" s="3" t="s">
        <v>36</v>
      </c>
      <c r="B24" s="3">
        <v>4</v>
      </c>
      <c r="C24" s="3">
        <v>17</v>
      </c>
    </row>
    <row r="25" spans="1:3">
      <c r="A25" s="3" t="s">
        <v>37</v>
      </c>
      <c r="B25" s="3">
        <v>5</v>
      </c>
      <c r="C25" s="3">
        <v>21</v>
      </c>
    </row>
    <row r="26" spans="1:3">
      <c r="A26" s="3" t="s">
        <v>38</v>
      </c>
      <c r="B26" s="3">
        <v>5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AVERAGE(C23:C26)</f>
        <v>18.25</v>
      </c>
    </row>
    <row r="32" spans="1:3">
      <c r="A32" s="4" t="s">
        <v>22</v>
      </c>
      <c r="B32" s="4" t="s">
        <v>39</v>
      </c>
      <c r="C32" s="4">
        <f>AVERAGE(C2:C9,C15:C17,C23:C26)</f>
        <v>19.6666666666667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34" sqref="C3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40</v>
      </c>
      <c r="B2" s="1">
        <v>1</v>
      </c>
      <c r="C2" s="1">
        <v>21</v>
      </c>
    </row>
    <row r="3" spans="1:4">
      <c r="A3" s="1" t="s">
        <v>41</v>
      </c>
      <c r="B3" s="1">
        <v>2</v>
      </c>
      <c r="C3" s="1">
        <v>22</v>
      </c>
    </row>
    <row r="4" spans="1:4">
      <c r="A4" s="1" t="s">
        <v>42</v>
      </c>
      <c r="B4" s="1">
        <v>2</v>
      </c>
      <c r="C4" s="1">
        <v>16</v>
      </c>
    </row>
    <row r="5" spans="1:4">
      <c r="A5" s="1" t="s">
        <v>43</v>
      </c>
      <c r="B5" s="1">
        <v>2</v>
      </c>
      <c r="C5" s="1">
        <v>16</v>
      </c>
    </row>
    <row r="6" spans="1:4">
      <c r="A6" s="1" t="s">
        <v>44</v>
      </c>
      <c r="B6" s="1">
        <v>2</v>
      </c>
      <c r="C6" s="1">
        <v>16</v>
      </c>
    </row>
    <row r="7" spans="1:4">
      <c r="A7" s="1" t="s">
        <v>45</v>
      </c>
      <c r="B7" s="1">
        <v>3</v>
      </c>
      <c r="C7" s="1">
        <v>24</v>
      </c>
    </row>
    <row r="8" spans="1:4">
      <c r="A8" s="1" t="s">
        <v>46</v>
      </c>
      <c r="B8" s="1">
        <v>3</v>
      </c>
      <c r="C8" s="1">
        <v>24</v>
      </c>
    </row>
    <row r="9" spans="1:4">
      <c r="A9" s="1" t="s">
        <v>47</v>
      </c>
      <c r="B9" s="1">
        <v>3</v>
      </c>
      <c r="C9" s="1">
        <v>22</v>
      </c>
    </row>
    <row r="10" spans="1:4">
      <c r="A10" s="1" t="s">
        <v>48</v>
      </c>
      <c r="B10" s="1">
        <v>3</v>
      </c>
      <c r="C10" s="1">
        <v>22</v>
      </c>
    </row>
    <row r="11" spans="1:4">
      <c r="A11" s="1" t="s">
        <v>49</v>
      </c>
      <c r="B11" s="1">
        <v>5</v>
      </c>
      <c r="C11" s="1">
        <v>22</v>
      </c>
    </row>
    <row r="12" spans="1:4">
      <c r="A12" s="1" t="s">
        <v>50</v>
      </c>
      <c r="B12" s="1">
        <v>5</v>
      </c>
      <c r="C12" s="1">
        <v>21</v>
      </c>
    </row>
    <row r="13" spans="1:4">
      <c r="A13" s="1"/>
      <c r="B13" s="1"/>
      <c r="C13" s="1"/>
    </row>
    <row r="14" spans="1:4">
      <c r="A14" s="1"/>
      <c r="B14" s="1"/>
      <c r="C14" s="1"/>
    </row>
    <row r="15" spans="1:4">
      <c r="A15" s="1" t="s">
        <v>7</v>
      </c>
      <c r="B15" s="1" t="s">
        <v>8</v>
      </c>
      <c r="C15" s="1">
        <f>AVERAGE(C2:C12)</f>
        <v>20.5454545454545</v>
      </c>
      <c r="D15" s="2"/>
    </row>
    <row r="18" spans="1:3">
      <c r="A18" s="2" t="s">
        <v>51</v>
      </c>
      <c r="B18" s="2">
        <v>4</v>
      </c>
      <c r="C18" s="2">
        <v>21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14</v>
      </c>
      <c r="C21" s="2">
        <f>AVERAGE(C18:C18)</f>
        <v>21</v>
      </c>
    </row>
    <row r="24" spans="1:3">
      <c r="A24" s="3" t="s">
        <v>52</v>
      </c>
      <c r="B24" s="3">
        <v>3</v>
      </c>
      <c r="C24" s="3">
        <v>12</v>
      </c>
    </row>
    <row r="25" spans="1:3">
      <c r="A25" s="3" t="s">
        <v>53</v>
      </c>
      <c r="B25" s="3">
        <v>4</v>
      </c>
      <c r="C25" s="3">
        <v>20</v>
      </c>
    </row>
    <row r="26" spans="1:3">
      <c r="A26" s="3" t="s">
        <v>54</v>
      </c>
      <c r="B26" s="3">
        <v>4</v>
      </c>
      <c r="C26" s="3">
        <v>12</v>
      </c>
    </row>
    <row r="27" spans="1:3">
      <c r="A27" s="3" t="s">
        <v>55</v>
      </c>
      <c r="B27" s="3">
        <v>6</v>
      </c>
      <c r="C27" s="3">
        <v>21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7</v>
      </c>
      <c r="B30" s="3" t="s">
        <v>21</v>
      </c>
      <c r="C30" s="3">
        <f>AVERAGE(C24:C27)</f>
        <v>16.25</v>
      </c>
    </row>
    <row r="33" spans="1:3">
      <c r="A33" s="4" t="s">
        <v>22</v>
      </c>
      <c r="B33" s="4" t="s">
        <v>56</v>
      </c>
      <c r="C33" s="4">
        <f>AVERAGE(C2:C12,C18:C18,C24:C27)</f>
        <v>19.5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topLeftCell="A7" workbookViewId="0">
      <selection activeCell="B32" sqref="B3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57</v>
      </c>
      <c r="B2" s="1">
        <v>2</v>
      </c>
      <c r="C2" s="1">
        <v>24</v>
      </c>
    </row>
    <row r="3" spans="1:4">
      <c r="A3" s="1" t="s">
        <v>58</v>
      </c>
      <c r="B3" s="1">
        <v>2</v>
      </c>
      <c r="C3" s="1">
        <v>24</v>
      </c>
    </row>
    <row r="4" spans="1:4">
      <c r="A4" s="1" t="s">
        <v>59</v>
      </c>
      <c r="B4" s="1">
        <v>2</v>
      </c>
      <c r="C4" s="1">
        <v>19</v>
      </c>
    </row>
    <row r="5" spans="1:4">
      <c r="A5" s="1" t="s">
        <v>60</v>
      </c>
      <c r="B5" s="1">
        <v>3</v>
      </c>
      <c r="C5" s="1">
        <v>24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22.75</v>
      </c>
      <c r="D8" s="2"/>
    </row>
    <row r="9" customFormat="1"/>
    <row r="10" customFormat="1"/>
    <row r="11" spans="1:4">
      <c r="A11" s="2" t="s">
        <v>61</v>
      </c>
      <c r="B11" s="2">
        <v>1</v>
      </c>
      <c r="C11" s="2">
        <v>17</v>
      </c>
    </row>
    <row r="12" spans="1:4">
      <c r="A12" s="2" t="s">
        <v>62</v>
      </c>
      <c r="B12" s="2">
        <v>2</v>
      </c>
      <c r="C12" s="2">
        <v>22</v>
      </c>
    </row>
    <row r="13" spans="1:4">
      <c r="A13" s="2" t="s">
        <v>63</v>
      </c>
      <c r="B13" s="2">
        <v>2</v>
      </c>
      <c r="C13" s="2">
        <v>14</v>
      </c>
    </row>
    <row r="14" spans="1:4">
      <c r="A14" s="2" t="s">
        <v>64</v>
      </c>
      <c r="B14" s="2">
        <v>2</v>
      </c>
      <c r="C14" s="2">
        <v>14</v>
      </c>
    </row>
    <row r="15" spans="1:4">
      <c r="A15" s="2" t="s">
        <v>65</v>
      </c>
      <c r="B15" s="2">
        <v>3</v>
      </c>
      <c r="C15" s="2">
        <v>21</v>
      </c>
    </row>
    <row r="16" spans="1:4">
      <c r="A16" s="2" t="s">
        <v>66</v>
      </c>
      <c r="B16" s="2">
        <v>3</v>
      </c>
      <c r="C16" s="2">
        <v>21</v>
      </c>
    </row>
    <row r="17" spans="1:3">
      <c r="A17" s="2" t="s">
        <v>67</v>
      </c>
      <c r="B17" s="2">
        <v>3</v>
      </c>
      <c r="C17" s="2">
        <v>19</v>
      </c>
    </row>
    <row r="18" spans="1:3">
      <c r="A18" s="2" t="s">
        <v>68</v>
      </c>
      <c r="B18" s="2">
        <v>3</v>
      </c>
      <c r="C18" s="2">
        <v>20</v>
      </c>
    </row>
    <row r="19" spans="1:3">
      <c r="A19" s="2" t="s">
        <v>69</v>
      </c>
      <c r="B19" s="2">
        <v>4</v>
      </c>
      <c r="C19" s="2">
        <v>17</v>
      </c>
    </row>
    <row r="20" spans="1:3">
      <c r="A20" s="2" t="s">
        <v>70</v>
      </c>
      <c r="B20" s="2">
        <v>7</v>
      </c>
      <c r="C20" s="2">
        <v>20</v>
      </c>
    </row>
    <row r="21" customFormat="1" spans="1:3">
      <c r="A21" s="2"/>
      <c r="B21" s="2"/>
      <c r="C21" s="2"/>
    </row>
    <row r="22" customFormat="1" spans="1:3">
      <c r="A22" s="2"/>
      <c r="B22" s="2"/>
      <c r="C22" s="2"/>
    </row>
    <row r="23" spans="1:3">
      <c r="A23" s="2" t="s">
        <v>7</v>
      </c>
      <c r="B23" s="2" t="s">
        <v>14</v>
      </c>
      <c r="C23" s="2">
        <f>AVERAGE(C11:C20)</f>
        <v>18.5</v>
      </c>
    </row>
    <row r="24" customFormat="1"/>
    <row r="25" customFormat="1"/>
    <row r="26" spans="1:3">
      <c r="A26" s="3" t="s">
        <v>71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AVERAGE(C26:C26)</f>
        <v>12</v>
      </c>
    </row>
    <row r="30" customFormat="1"/>
    <row r="31" customFormat="1"/>
    <row r="32" customFormat="1" spans="1:3">
      <c r="A32" s="4" t="s">
        <v>22</v>
      </c>
      <c r="B32" s="4" t="s">
        <v>72</v>
      </c>
      <c r="C32" s="4">
        <f>AVERAGE(C2:C5,C11:C20,C26:C26)</f>
        <v>19.2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禅意</vt:lpstr>
      <vt:lpstr>冬神</vt:lpstr>
      <vt:lpstr>帝国</vt:lpstr>
      <vt:lpstr>隐秘</vt:lpstr>
      <vt:lpstr>古月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2026-08-31T07:38:13Z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